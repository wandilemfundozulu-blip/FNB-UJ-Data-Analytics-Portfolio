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sedaorgza-my.sharepoint.com/personal/nndebele_seda_org_za/Documents/Desktop/Templates/"/>
    </mc:Choice>
  </mc:AlternateContent>
  <xr:revisionPtr revIDLastSave="538" documentId="8_{2079BDBF-2FE7-4C05-8075-1751B9721823}" xr6:coauthVersionLast="47" xr6:coauthVersionMax="47" xr10:uidLastSave="{D892CE49-576D-4DC7-994B-2DA408A8A808}"/>
  <bookViews>
    <workbookView xWindow="-110" yWindow="-110" windowWidth="19420" windowHeight="11500" activeTab="1" xr2:uid="{00000000-000D-0000-FFFF-FFFF00000000}"/>
  </bookViews>
  <sheets>
    <sheet name="Pricing Model" sheetId="1" r:id="rId1"/>
    <sheet name="Sales Journal" sheetId="2" r:id="rId2"/>
    <sheet name="Income Statement-Resale" sheetId="3" r:id="rId3"/>
    <sheet name="Income Statement- Manufacturing" sheetId="8" r:id="rId4"/>
    <sheet name="Cash Flow" sheetId="5" r:id="rId5"/>
    <sheet name="Inventory Log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18" i="8"/>
  <c r="B8" i="8"/>
  <c r="B12" i="8" s="1"/>
  <c r="B14" i="8" s="1"/>
  <c r="B16" i="8" s="1"/>
  <c r="F3" i="7"/>
  <c r="C4" i="7" s="1"/>
  <c r="F4" i="7" s="1"/>
  <c r="C5" i="7" s="1"/>
  <c r="F5" i="7" s="1"/>
  <c r="C6" i="7" s="1"/>
  <c r="F6" i="7" s="1"/>
  <c r="C7" i="7" s="1"/>
  <c r="F7" i="7" s="1"/>
  <c r="C8" i="7" s="1"/>
  <c r="F8" i="7" s="1"/>
  <c r="C9" i="7" s="1"/>
  <c r="F9" i="7" s="1"/>
  <c r="C10" i="7" s="1"/>
  <c r="F10" i="7" s="1"/>
  <c r="C11" i="7" s="1"/>
  <c r="F11" i="7" s="1"/>
  <c r="C12" i="7" s="1"/>
  <c r="F12" i="7" s="1"/>
  <c r="C13" i="7" s="1"/>
  <c r="F13" i="7" s="1"/>
  <c r="C14" i="7" s="1"/>
  <c r="F14" i="7" s="1"/>
  <c r="C15" i="7" s="1"/>
  <c r="F15" i="7" s="1"/>
  <c r="C16" i="7" s="1"/>
  <c r="F16" i="7" s="1"/>
  <c r="C17" i="7" s="1"/>
  <c r="F17" i="7" s="1"/>
  <c r="C18" i="7" s="1"/>
  <c r="F18" i="7" s="1"/>
  <c r="C19" i="7" s="1"/>
  <c r="F19" i="7" s="1"/>
  <c r="C20" i="7" s="1"/>
  <c r="F20" i="7" s="1"/>
  <c r="C21" i="7" s="1"/>
  <c r="F21" i="7" s="1"/>
  <c r="C22" i="7" s="1"/>
  <c r="F22" i="7" s="1"/>
  <c r="E3" i="5"/>
  <c r="B4" i="5" s="1"/>
  <c r="B6" i="3"/>
  <c r="B5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3" i="2"/>
  <c r="F22" i="1"/>
  <c r="G22" i="1" s="1"/>
  <c r="H22" i="1" s="1"/>
  <c r="F21" i="1"/>
  <c r="G21" i="1" s="1"/>
  <c r="H21" i="1" s="1"/>
  <c r="F20" i="1"/>
  <c r="G20" i="1" s="1"/>
  <c r="H20" i="1" s="1"/>
  <c r="F19" i="1"/>
  <c r="G19" i="1" s="1"/>
  <c r="H19" i="1" s="1"/>
  <c r="F18" i="1"/>
  <c r="G18" i="1" s="1"/>
  <c r="H18" i="1" s="1"/>
  <c r="F17" i="1"/>
  <c r="G17" i="1" s="1"/>
  <c r="H17" i="1" s="1"/>
  <c r="F16" i="1"/>
  <c r="G16" i="1" s="1"/>
  <c r="H16" i="1" s="1"/>
  <c r="F15" i="1"/>
  <c r="G15" i="1" s="1"/>
  <c r="H15" i="1" s="1"/>
  <c r="F14" i="1"/>
  <c r="G14" i="1" s="1"/>
  <c r="H14" i="1" s="1"/>
  <c r="F13" i="1"/>
  <c r="G13" i="1" s="1"/>
  <c r="H13" i="1" s="1"/>
  <c r="F12" i="1"/>
  <c r="G12" i="1" s="1"/>
  <c r="H12" i="1" s="1"/>
  <c r="F11" i="1"/>
  <c r="G11" i="1" s="1"/>
  <c r="H11" i="1" s="1"/>
  <c r="F10" i="1"/>
  <c r="G10" i="1" s="1"/>
  <c r="H10" i="1" s="1"/>
  <c r="F9" i="1"/>
  <c r="G9" i="1" s="1"/>
  <c r="H9" i="1" s="1"/>
  <c r="F8" i="1"/>
  <c r="G8" i="1" s="1"/>
  <c r="H8" i="1" s="1"/>
  <c r="F7" i="1"/>
  <c r="G7" i="1" s="1"/>
  <c r="H7" i="1" s="1"/>
  <c r="F6" i="1"/>
  <c r="G6" i="1" s="1"/>
  <c r="H6" i="1" s="1"/>
  <c r="F5" i="1"/>
  <c r="G5" i="1" s="1"/>
  <c r="H5" i="1" s="1"/>
  <c r="F4" i="1"/>
  <c r="G4" i="1" s="1"/>
  <c r="H4" i="1" s="1"/>
  <c r="F3" i="1"/>
  <c r="G3" i="1" s="1"/>
  <c r="H3" i="1" s="1"/>
  <c r="B34" i="8" l="1"/>
  <c r="B22" i="3"/>
  <c r="B23" i="3" s="1"/>
  <c r="B24" i="3" s="1"/>
  <c r="E4" i="5"/>
  <c r="B5" i="5" s="1"/>
  <c r="E5" i="5" s="1"/>
  <c r="B6" i="5" s="1"/>
  <c r="E6" i="5" s="1"/>
  <c r="B7" i="5" s="1"/>
  <c r="E7" i="5" s="1"/>
  <c r="B8" i="5" s="1"/>
  <c r="E8" i="5" s="1"/>
  <c r="B9" i="5" s="1"/>
  <c r="E9" i="5" s="1"/>
  <c r="B10" i="5" s="1"/>
  <c r="E10" i="5" s="1"/>
  <c r="B11" i="5" s="1"/>
  <c r="E11" i="5" s="1"/>
  <c r="B12" i="5" s="1"/>
  <c r="E12" i="5" s="1"/>
  <c r="B13" i="5" s="1"/>
  <c r="E13" i="5" s="1"/>
  <c r="B14" i="5" s="1"/>
  <c r="E14" i="5" s="1"/>
  <c r="B35" i="8" l="1"/>
  <c r="B36" i="8" s="1"/>
</calcChain>
</file>

<file path=xl/sharedStrings.xml><?xml version="1.0" encoding="utf-8"?>
<sst xmlns="http://schemas.openxmlformats.org/spreadsheetml/2006/main" count="185" uniqueCount="109">
  <si>
    <t>Product Name</t>
  </si>
  <si>
    <t>Raw Materials</t>
  </si>
  <si>
    <t>Packaging</t>
  </si>
  <si>
    <t>Labour</t>
  </si>
  <si>
    <t>Other</t>
  </si>
  <si>
    <t>Total Cost Price</t>
  </si>
  <si>
    <t>Selling Price (25% Markup)</t>
  </si>
  <si>
    <t>Gross Profit per Unit</t>
  </si>
  <si>
    <t>The Scuba Tee</t>
  </si>
  <si>
    <t>Th Neck Tee</t>
  </si>
  <si>
    <t>The Logo Tee</t>
  </si>
  <si>
    <t>The Entry Tee</t>
  </si>
  <si>
    <t>The Meck Tee</t>
  </si>
  <si>
    <t>The Neck Tee</t>
  </si>
  <si>
    <t>The Founder Tee</t>
  </si>
  <si>
    <t>The SCuba Tee</t>
  </si>
  <si>
    <t>Product 15</t>
  </si>
  <si>
    <t>-</t>
  </si>
  <si>
    <t>Product 16</t>
  </si>
  <si>
    <t>Product 17</t>
  </si>
  <si>
    <t>Product 18</t>
  </si>
  <si>
    <t>Product 19</t>
  </si>
  <si>
    <t>Product 20</t>
  </si>
  <si>
    <t>Date</t>
  </si>
  <si>
    <t>Quantity Sold</t>
  </si>
  <si>
    <t>Selling Price</t>
  </si>
  <si>
    <t>Total Sales</t>
  </si>
  <si>
    <t>Payment Method</t>
  </si>
  <si>
    <t xml:space="preserve"> Cash/ Credit Sale</t>
  </si>
  <si>
    <t>Cash</t>
  </si>
  <si>
    <t>Amount (R)</t>
  </si>
  <si>
    <t>Revenue (Sales)</t>
  </si>
  <si>
    <t>Cost of Goods Sold</t>
  </si>
  <si>
    <t>Gross Profit</t>
  </si>
  <si>
    <t>Gross Profit Percentage (%)</t>
  </si>
  <si>
    <t>Operating Expenses</t>
  </si>
  <si>
    <t xml:space="preserve"> - Rent</t>
  </si>
  <si>
    <t xml:space="preserve"> - Wages &amp; Salaries</t>
  </si>
  <si>
    <t xml:space="preserve"> - Transport</t>
  </si>
  <si>
    <t xml:space="preserve"> - Utilities</t>
  </si>
  <si>
    <t xml:space="preserve"> - Marketing</t>
  </si>
  <si>
    <t xml:space="preserve"> - Other Expenses</t>
  </si>
  <si>
    <t>Net Profit Before Tax</t>
  </si>
  <si>
    <t>Estimated Tax (27%)</t>
  </si>
  <si>
    <t>Net Profit After Tax</t>
  </si>
  <si>
    <t>Amount ('R)</t>
  </si>
  <si>
    <t>Cost of Goods Manufactured (COGM):</t>
  </si>
  <si>
    <t>Direct Labour</t>
  </si>
  <si>
    <t>Manufacturing Overhead</t>
  </si>
  <si>
    <t>Total COGM</t>
  </si>
  <si>
    <t>Adjust for Inventory:</t>
  </si>
  <si>
    <t>+ Opening Inventory (Finished Goods)</t>
  </si>
  <si>
    <t>+ Cost of Goods Manufactured</t>
  </si>
  <si>
    <t>- Closing Inventory (Finished Goods)</t>
  </si>
  <si>
    <t>Cost of Goods Sold (COGS)</t>
  </si>
  <si>
    <r>
      <t>Gross Profit</t>
    </r>
    <r>
      <rPr>
        <sz val="11"/>
        <color theme="1"/>
        <rFont val="Calibri"/>
        <family val="2"/>
        <scheme val="minor"/>
      </rPr>
      <t xml:space="preserve"> (Revenue - COGS)</t>
    </r>
  </si>
  <si>
    <t>Operating Expenses:</t>
  </si>
  <si>
    <t>Rent</t>
  </si>
  <si>
    <t>Salaries &amp; Wages</t>
  </si>
  <si>
    <t>Utilities</t>
  </si>
  <si>
    <t>Transport</t>
  </si>
  <si>
    <t>Marketing</t>
  </si>
  <si>
    <t>Other Expenses( Bank Charges &amp; Stationary)</t>
  </si>
  <si>
    <t>Other Expenses</t>
  </si>
  <si>
    <t>- Tax (Estimated @ 27%)</t>
  </si>
  <si>
    <t>Month</t>
  </si>
  <si>
    <t>Opening Balance</t>
  </si>
  <si>
    <t>Cash Inflows</t>
  </si>
  <si>
    <t>Cash Outflows</t>
  </si>
  <si>
    <t>Closing Balance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</si>
  <si>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</si>
  <si>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</si>
  <si>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</si>
  <si>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</si>
  <si>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</si>
  <si>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</si>
  <si>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</si>
  <si>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</si>
  <si>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</si>
  <si>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</si>
  <si>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</si>
  <si>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</si>
  <si>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Item Name</t>
  </si>
  <si>
    <t>Opening Stock</t>
  </si>
  <si>
    <t>Stock In</t>
  </si>
  <si>
    <t>Stock Out</t>
  </si>
  <si>
    <t>Closing Stock</t>
  </si>
  <si>
    <t>Supplier</t>
  </si>
  <si>
    <t>Scuba Tee</t>
  </si>
  <si>
    <t>BABY GOAT</t>
  </si>
  <si>
    <t>Neck Tee</t>
  </si>
  <si>
    <t>Logo Tee</t>
  </si>
  <si>
    <t>Founder Tee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</si>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</sst>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&quot;* #,##0.00_-;\-&quot;R&quot;* #,##0.00_-;_-&quot;R&quot;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164" fontId="0" fillId="0" borderId="1" xfId="1" applyFont="1" applyBorder="1" applyProtection="1">
      <protection locked="0"/>
    </xf>
    <xf numFmtId="164" fontId="0" fillId="0" borderId="1" xfId="1" applyFont="1" applyBorder="1" applyProtection="1"/>
    <xf numFmtId="0" fontId="2" fillId="0" borderId="0" xfId="0" applyFont="1"/>
    <xf numFmtId="164" fontId="0" fillId="0" borderId="1" xfId="0" applyNumberFormat="1" applyBorder="1"/>
    <xf numFmtId="0" fontId="3" fillId="0" borderId="0" xfId="0" applyFont="1" applyProtection="1">
      <protection locked="0"/>
    </xf>
    <xf numFmtId="14" fontId="0" fillId="0" borderId="0" xfId="0" applyNumberFormat="1" applyProtection="1">
      <protection locked="0"/>
    </xf>
    <xf numFmtId="14" fontId="0" fillId="0" borderId="1" xfId="0" applyNumberFormat="1" applyBorder="1" applyProtection="1">
      <protection locked="0"/>
    </xf>
    <xf numFmtId="0" fontId="3" fillId="0" borderId="0" xfId="0" applyFont="1"/>
    <xf numFmtId="0" fontId="0" fillId="0" borderId="1" xfId="0" applyBorder="1"/>
    <xf numFmtId="164" fontId="0" fillId="0" borderId="3" xfId="1" applyFont="1" applyBorder="1" applyProtection="1">
      <protection locked="0"/>
    </xf>
    <xf numFmtId="164" fontId="0" fillId="0" borderId="4" xfId="1" applyFont="1" applyBorder="1" applyProtection="1">
      <protection locked="0"/>
    </xf>
    <xf numFmtId="164" fontId="0" fillId="0" borderId="0" xfId="1" applyFont="1" applyProtection="1">
      <protection locked="0"/>
    </xf>
    <xf numFmtId="164" fontId="0" fillId="0" borderId="5" xfId="1" applyFont="1" applyBorder="1" applyProtection="1">
      <protection locked="0"/>
    </xf>
    <xf numFmtId="164" fontId="0" fillId="0" borderId="0" xfId="1" applyFont="1" applyProtection="1"/>
    <xf numFmtId="9" fontId="0" fillId="0" borderId="0" xfId="2" applyFont="1" applyProtection="1"/>
    <xf numFmtId="164" fontId="0" fillId="0" borderId="3" xfId="1" applyFont="1" applyBorder="1" applyProtection="1"/>
    <xf numFmtId="164" fontId="0" fillId="0" borderId="5" xfId="1" applyFont="1" applyBorder="1" applyProtection="1"/>
    <xf numFmtId="164" fontId="2" fillId="0" borderId="2" xfId="1" applyFont="1" applyBorder="1" applyProtection="1"/>
    <xf numFmtId="0" fontId="2" fillId="0" borderId="0" xfId="0" applyFont="1" applyAlignment="1" applyProtection="1">
      <alignment vertical="center" wrapText="1"/>
      <protection locked="0"/>
    </xf>
    <xf numFmtId="164" fontId="2" fillId="0" borderId="0" xfId="1" applyFont="1" applyAlignment="1" applyProtection="1">
      <alignment vertical="center" wrapText="1"/>
      <protection locked="0"/>
    </xf>
    <xf numFmtId="164" fontId="0" fillId="0" borderId="0" xfId="1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164" fontId="0" fillId="0" borderId="3" xfId="1" applyFont="1" applyBorder="1" applyAlignment="1" applyProtection="1">
      <alignment vertical="center" wrapText="1"/>
      <protection locked="0"/>
    </xf>
    <xf numFmtId="164" fontId="0" fillId="0" borderId="5" xfId="1" applyFont="1" applyBorder="1" applyAlignment="1" applyProtection="1">
      <alignment vertical="center" wrapText="1"/>
      <protection locked="0"/>
    </xf>
    <xf numFmtId="164" fontId="0" fillId="0" borderId="4" xfId="1" applyFont="1" applyBorder="1" applyAlignment="1" applyProtection="1">
      <alignment vertical="center" wrapText="1"/>
      <protection locked="0"/>
    </xf>
    <xf numFmtId="164" fontId="2" fillId="0" borderId="0" xfId="1" applyFont="1" applyAlignment="1" applyProtection="1">
      <alignment vertical="center" wrapText="1"/>
    </xf>
    <xf numFmtId="164" fontId="0" fillId="0" borderId="0" xfId="1" applyFont="1" applyAlignment="1" applyProtection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opLeftCell="A10" workbookViewId="0">
      <selection activeCell="B17" sqref="B17:B22"/>
    </sheetView>
  </sheetViews>
  <sheetFormatPr defaultColWidth="8.7109375" defaultRowHeight="14.45"/>
  <cols>
    <col min="1" max="1" width="19.28515625" style="2" customWidth="1"/>
    <col min="2" max="2" width="13.5703125" style="2" customWidth="1"/>
    <col min="3" max="3" width="15.140625" style="2" customWidth="1"/>
    <col min="4" max="4" width="16.7109375" style="2" customWidth="1"/>
    <col min="5" max="5" width="11.85546875" style="2" customWidth="1"/>
    <col min="6" max="6" width="16.28515625" style="2" customWidth="1"/>
    <col min="7" max="7" width="23.7109375" style="2" customWidth="1"/>
    <col min="8" max="8" width="17.85546875" style="2" customWidth="1"/>
    <col min="9" max="16384" width="8.7109375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</row>
    <row r="2" spans="1:8">
      <c r="F2"/>
      <c r="G2"/>
      <c r="H2"/>
    </row>
    <row r="3" spans="1:8">
      <c r="A3" s="3" t="s">
        <v>8</v>
      </c>
      <c r="B3" s="4">
        <v>80</v>
      </c>
      <c r="C3" s="4">
        <v>15</v>
      </c>
      <c r="D3" s="4">
        <v>75</v>
      </c>
      <c r="E3" s="4">
        <v>10</v>
      </c>
      <c r="F3" s="5">
        <f>SUM(B3:E3)</f>
        <v>180</v>
      </c>
      <c r="G3" s="5">
        <f>(F3*25%)+F3</f>
        <v>225</v>
      </c>
      <c r="H3" s="7">
        <f>G3-F3</f>
        <v>45</v>
      </c>
    </row>
    <row r="4" spans="1:8">
      <c r="A4" s="3" t="s">
        <v>8</v>
      </c>
      <c r="B4" s="4">
        <v>80</v>
      </c>
      <c r="C4" s="4">
        <v>15</v>
      </c>
      <c r="D4" s="4">
        <v>75</v>
      </c>
      <c r="E4" s="4">
        <v>10</v>
      </c>
      <c r="F4" s="5">
        <f t="shared" ref="F4:F22" si="0">SUM(B4:E4)</f>
        <v>180</v>
      </c>
      <c r="G4" s="5">
        <f>(F4*25%)+F4</f>
        <v>225</v>
      </c>
      <c r="H4" s="7">
        <f t="shared" ref="H4:H22" si="1">G4-F4</f>
        <v>45</v>
      </c>
    </row>
    <row r="5" spans="1:8">
      <c r="A5" s="3" t="s">
        <v>8</v>
      </c>
      <c r="B5" s="4">
        <v>80</v>
      </c>
      <c r="C5" s="4">
        <v>15</v>
      </c>
      <c r="D5" s="4">
        <v>75</v>
      </c>
      <c r="E5" s="4">
        <v>10</v>
      </c>
      <c r="F5" s="5">
        <f t="shared" si="0"/>
        <v>180</v>
      </c>
      <c r="G5" s="5">
        <f t="shared" ref="G5:G22" si="2">(F5*25%)+F5</f>
        <v>225</v>
      </c>
      <c r="H5" s="7">
        <f t="shared" si="1"/>
        <v>45</v>
      </c>
    </row>
    <row r="6" spans="1:8">
      <c r="A6" s="3" t="s">
        <v>8</v>
      </c>
      <c r="B6" s="4">
        <v>80</v>
      </c>
      <c r="C6" s="4">
        <v>15</v>
      </c>
      <c r="D6" s="4">
        <v>75</v>
      </c>
      <c r="E6" s="4">
        <v>10</v>
      </c>
      <c r="F6" s="5">
        <f t="shared" si="0"/>
        <v>180</v>
      </c>
      <c r="G6" s="5">
        <f t="shared" si="2"/>
        <v>225</v>
      </c>
      <c r="H6" s="7">
        <f t="shared" si="1"/>
        <v>45</v>
      </c>
    </row>
    <row r="7" spans="1:8">
      <c r="A7" s="3" t="s">
        <v>8</v>
      </c>
      <c r="B7" s="4">
        <v>80</v>
      </c>
      <c r="C7" s="4">
        <v>15</v>
      </c>
      <c r="D7" s="4">
        <v>75</v>
      </c>
      <c r="E7" s="4">
        <v>10</v>
      </c>
      <c r="F7" s="5">
        <f>SUM(B7:E7)</f>
        <v>180</v>
      </c>
      <c r="G7" s="5">
        <f t="shared" si="2"/>
        <v>225</v>
      </c>
      <c r="H7" s="7">
        <f t="shared" si="1"/>
        <v>45</v>
      </c>
    </row>
    <row r="8" spans="1:8">
      <c r="A8" s="3" t="s">
        <v>9</v>
      </c>
      <c r="B8" s="4">
        <v>95</v>
      </c>
      <c r="C8" s="4">
        <v>15</v>
      </c>
      <c r="D8" s="4">
        <v>80</v>
      </c>
      <c r="E8" s="4">
        <v>10</v>
      </c>
      <c r="F8" s="5">
        <f t="shared" si="0"/>
        <v>200</v>
      </c>
      <c r="G8" s="5">
        <f t="shared" si="2"/>
        <v>250</v>
      </c>
      <c r="H8" s="7">
        <f t="shared" si="1"/>
        <v>50</v>
      </c>
    </row>
    <row r="9" spans="1:8">
      <c r="A9" s="3" t="s">
        <v>10</v>
      </c>
      <c r="B9" s="4">
        <v>70</v>
      </c>
      <c r="C9" s="4">
        <v>15</v>
      </c>
      <c r="D9" s="4">
        <v>65</v>
      </c>
      <c r="E9" s="4">
        <v>10</v>
      </c>
      <c r="F9" s="5">
        <f t="shared" si="0"/>
        <v>160</v>
      </c>
      <c r="G9" s="5">
        <f>(F9*25%)+F9</f>
        <v>200</v>
      </c>
      <c r="H9" s="7">
        <f t="shared" si="1"/>
        <v>40</v>
      </c>
    </row>
    <row r="10" spans="1:8">
      <c r="A10" s="3" t="s">
        <v>11</v>
      </c>
      <c r="B10" s="4">
        <v>50</v>
      </c>
      <c r="C10" s="4">
        <v>10</v>
      </c>
      <c r="D10" s="4">
        <v>50</v>
      </c>
      <c r="E10" s="4">
        <v>0</v>
      </c>
      <c r="F10" s="5">
        <f t="shared" si="0"/>
        <v>110</v>
      </c>
      <c r="G10" s="5">
        <f t="shared" si="2"/>
        <v>137.5</v>
      </c>
      <c r="H10" s="7">
        <f t="shared" si="1"/>
        <v>27.5</v>
      </c>
    </row>
    <row r="11" spans="1:8">
      <c r="A11" s="3" t="s">
        <v>12</v>
      </c>
      <c r="B11" s="4">
        <v>95</v>
      </c>
      <c r="C11" s="4">
        <v>15</v>
      </c>
      <c r="D11" s="4">
        <v>80</v>
      </c>
      <c r="E11" s="4">
        <v>10</v>
      </c>
      <c r="F11" s="5">
        <f t="shared" si="0"/>
        <v>200</v>
      </c>
      <c r="G11" s="5">
        <f t="shared" si="2"/>
        <v>250</v>
      </c>
      <c r="H11" s="7">
        <f t="shared" si="1"/>
        <v>50</v>
      </c>
    </row>
    <row r="12" spans="1:8">
      <c r="A12" s="3" t="s">
        <v>13</v>
      </c>
      <c r="B12" s="4">
        <v>95</v>
      </c>
      <c r="C12" s="4">
        <v>15</v>
      </c>
      <c r="D12" s="4">
        <v>80</v>
      </c>
      <c r="E12" s="4">
        <v>10</v>
      </c>
      <c r="F12" s="5">
        <f t="shared" si="0"/>
        <v>200</v>
      </c>
      <c r="G12" s="5">
        <f t="shared" si="2"/>
        <v>250</v>
      </c>
      <c r="H12" s="7">
        <f t="shared" si="1"/>
        <v>50</v>
      </c>
    </row>
    <row r="13" spans="1:8">
      <c r="A13" s="3" t="s">
        <v>14</v>
      </c>
      <c r="B13" s="4">
        <v>95</v>
      </c>
      <c r="C13" s="4">
        <v>15</v>
      </c>
      <c r="D13" s="4">
        <v>80</v>
      </c>
      <c r="E13" s="4">
        <v>10</v>
      </c>
      <c r="F13" s="5">
        <f t="shared" si="0"/>
        <v>200</v>
      </c>
      <c r="G13" s="5">
        <f t="shared" si="2"/>
        <v>250</v>
      </c>
      <c r="H13" s="7">
        <f t="shared" si="1"/>
        <v>50</v>
      </c>
    </row>
    <row r="14" spans="1:8">
      <c r="A14" s="3" t="s">
        <v>14</v>
      </c>
      <c r="B14" s="4">
        <v>95</v>
      </c>
      <c r="C14" s="4">
        <v>15</v>
      </c>
      <c r="D14" s="4">
        <v>80</v>
      </c>
      <c r="E14" s="4">
        <v>10</v>
      </c>
      <c r="F14" s="5">
        <f t="shared" si="0"/>
        <v>200</v>
      </c>
      <c r="G14" s="5">
        <f t="shared" si="2"/>
        <v>250</v>
      </c>
      <c r="H14" s="7">
        <f t="shared" si="1"/>
        <v>50</v>
      </c>
    </row>
    <row r="15" spans="1:8">
      <c r="A15" s="3" t="s">
        <v>15</v>
      </c>
      <c r="B15" s="4">
        <v>80</v>
      </c>
      <c r="C15" s="4">
        <v>15</v>
      </c>
      <c r="D15" s="4">
        <v>75</v>
      </c>
      <c r="E15" s="4">
        <v>10</v>
      </c>
      <c r="F15" s="5">
        <f t="shared" si="0"/>
        <v>180</v>
      </c>
      <c r="G15" s="5">
        <f t="shared" si="2"/>
        <v>225</v>
      </c>
      <c r="H15" s="7">
        <f t="shared" si="1"/>
        <v>45</v>
      </c>
    </row>
    <row r="16" spans="1:8">
      <c r="A16" s="3" t="s">
        <v>8</v>
      </c>
      <c r="B16" s="4">
        <v>80</v>
      </c>
      <c r="C16" s="4">
        <v>15</v>
      </c>
      <c r="D16" s="4">
        <v>75</v>
      </c>
      <c r="E16" s="4">
        <v>10</v>
      </c>
      <c r="F16" s="5">
        <f t="shared" si="0"/>
        <v>180</v>
      </c>
      <c r="G16" s="5">
        <f t="shared" si="2"/>
        <v>225</v>
      </c>
      <c r="H16" s="7">
        <f t="shared" si="1"/>
        <v>45</v>
      </c>
    </row>
    <row r="17" spans="1:8">
      <c r="A17" s="3" t="s">
        <v>16</v>
      </c>
      <c r="B17" s="4" t="s">
        <v>17</v>
      </c>
      <c r="C17" s="4">
        <v>0</v>
      </c>
      <c r="D17" s="4">
        <v>0</v>
      </c>
      <c r="E17" s="4">
        <v>0</v>
      </c>
      <c r="F17" s="5">
        <f t="shared" si="0"/>
        <v>0</v>
      </c>
      <c r="G17" s="5">
        <f t="shared" si="2"/>
        <v>0</v>
      </c>
      <c r="H17" s="7">
        <f t="shared" si="1"/>
        <v>0</v>
      </c>
    </row>
    <row r="18" spans="1:8">
      <c r="A18" s="3" t="s">
        <v>18</v>
      </c>
      <c r="B18" s="4" t="s">
        <v>17</v>
      </c>
      <c r="C18" s="4">
        <v>0</v>
      </c>
      <c r="D18" s="4">
        <v>0</v>
      </c>
      <c r="E18" s="4">
        <v>0</v>
      </c>
      <c r="F18" s="5">
        <f t="shared" si="0"/>
        <v>0</v>
      </c>
      <c r="G18" s="5">
        <f t="shared" si="2"/>
        <v>0</v>
      </c>
      <c r="H18" s="7">
        <f t="shared" si="1"/>
        <v>0</v>
      </c>
    </row>
    <row r="19" spans="1:8">
      <c r="A19" s="3" t="s">
        <v>19</v>
      </c>
      <c r="B19" s="4" t="s">
        <v>17</v>
      </c>
      <c r="C19" s="4">
        <v>0</v>
      </c>
      <c r="D19" s="4">
        <v>0</v>
      </c>
      <c r="E19" s="4">
        <v>0</v>
      </c>
      <c r="F19" s="5">
        <f t="shared" si="0"/>
        <v>0</v>
      </c>
      <c r="G19" s="5">
        <f t="shared" si="2"/>
        <v>0</v>
      </c>
      <c r="H19" s="7">
        <f t="shared" si="1"/>
        <v>0</v>
      </c>
    </row>
    <row r="20" spans="1:8">
      <c r="A20" s="3" t="s">
        <v>20</v>
      </c>
      <c r="B20" s="4" t="s">
        <v>17</v>
      </c>
      <c r="C20" s="4">
        <v>0</v>
      </c>
      <c r="D20" s="4">
        <v>0</v>
      </c>
      <c r="E20" s="4">
        <v>0</v>
      </c>
      <c r="F20" s="5">
        <f t="shared" si="0"/>
        <v>0</v>
      </c>
      <c r="G20" s="5">
        <f t="shared" si="2"/>
        <v>0</v>
      </c>
      <c r="H20" s="7">
        <f t="shared" si="1"/>
        <v>0</v>
      </c>
    </row>
    <row r="21" spans="1:8">
      <c r="A21" s="3" t="s">
        <v>21</v>
      </c>
      <c r="B21" s="4" t="s">
        <v>17</v>
      </c>
      <c r="C21" s="4">
        <v>0</v>
      </c>
      <c r="D21" s="4">
        <v>0</v>
      </c>
      <c r="E21" s="4">
        <v>0</v>
      </c>
      <c r="F21" s="5">
        <f t="shared" si="0"/>
        <v>0</v>
      </c>
      <c r="G21" s="5">
        <f t="shared" si="2"/>
        <v>0</v>
      </c>
      <c r="H21" s="7">
        <f t="shared" si="1"/>
        <v>0</v>
      </c>
    </row>
    <row r="22" spans="1:8">
      <c r="A22" s="3" t="s">
        <v>22</v>
      </c>
      <c r="B22" s="4" t="s">
        <v>17</v>
      </c>
      <c r="C22" s="4">
        <v>0</v>
      </c>
      <c r="D22" s="4">
        <v>0</v>
      </c>
      <c r="E22" s="4">
        <v>0</v>
      </c>
      <c r="F22" s="5">
        <f t="shared" si="0"/>
        <v>0</v>
      </c>
      <c r="G22" s="5">
        <f t="shared" si="2"/>
        <v>0</v>
      </c>
      <c r="H22" s="7">
        <f t="shared" si="1"/>
        <v>0</v>
      </c>
    </row>
  </sheetData>
  <sheetProtection algorithmName="SHA-512" hashValue="cWtlUQUaajfzlQ6i21vqg6FlfY2rsUU9nGIcnCUig/KiqQcIlWrAdM0ykGep41CiLsbqQmq0bEP+8eXBLpG8IA==" saltValue="dCJ0Cx3kMGkwtO/UXf8I+w==" spinCount="100000" sheet="1" objects="1" scenarios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tabSelected="1" topLeftCell="A11" workbookViewId="0">
      <selection activeCell="C17" sqref="C17:C20"/>
    </sheetView>
  </sheetViews>
  <sheetFormatPr defaultColWidth="8.7109375" defaultRowHeight="14.45"/>
  <cols>
    <col min="1" max="1" width="10.42578125" style="2" bestFit="1" customWidth="1"/>
    <col min="2" max="2" width="17.5703125" style="2" customWidth="1"/>
    <col min="3" max="4" width="19" style="2" customWidth="1"/>
    <col min="5" max="5" width="25" customWidth="1"/>
    <col min="6" max="6" width="19.85546875" style="2" customWidth="1"/>
    <col min="7" max="7" width="17.140625" style="2" customWidth="1"/>
    <col min="8" max="16384" width="8.7109375" style="2"/>
  </cols>
  <sheetData>
    <row r="1" spans="1:7" ht="15.6">
      <c r="A1" s="8" t="s">
        <v>23</v>
      </c>
      <c r="B1" s="8" t="s">
        <v>0</v>
      </c>
      <c r="C1" s="8" t="s">
        <v>24</v>
      </c>
      <c r="D1" s="8" t="s">
        <v>25</v>
      </c>
      <c r="E1" s="11" t="s">
        <v>26</v>
      </c>
      <c r="F1" s="8" t="s">
        <v>27</v>
      </c>
      <c r="G1" s="8" t="s">
        <v>28</v>
      </c>
    </row>
    <row r="2" spans="1:7">
      <c r="A2" s="9"/>
    </row>
    <row r="3" spans="1:7">
      <c r="A3" s="10"/>
      <c r="B3" s="3" t="s">
        <v>8</v>
      </c>
      <c r="C3" s="3">
        <v>1</v>
      </c>
      <c r="D3" s="4">
        <v>340</v>
      </c>
      <c r="E3" s="7">
        <f>D3*C3</f>
        <v>340</v>
      </c>
      <c r="F3" s="3" t="s">
        <v>29</v>
      </c>
      <c r="G3" s="3" t="s">
        <v>29</v>
      </c>
    </row>
    <row r="4" spans="1:7">
      <c r="A4" s="10"/>
      <c r="B4" s="3" t="s">
        <v>8</v>
      </c>
      <c r="C4" s="3">
        <v>1</v>
      </c>
      <c r="D4" s="4">
        <v>340</v>
      </c>
      <c r="E4" s="7">
        <f t="shared" ref="E4:E50" si="0">D4*C4</f>
        <v>340</v>
      </c>
      <c r="F4" s="3" t="s">
        <v>29</v>
      </c>
      <c r="G4" s="3" t="s">
        <v>29</v>
      </c>
    </row>
    <row r="5" spans="1:7">
      <c r="A5" s="10"/>
      <c r="B5" s="3" t="s">
        <v>8</v>
      </c>
      <c r="C5" s="3">
        <v>1</v>
      </c>
      <c r="D5" s="4">
        <v>340</v>
      </c>
      <c r="E5" s="7">
        <f t="shared" si="0"/>
        <v>340</v>
      </c>
      <c r="F5" s="3" t="s">
        <v>29</v>
      </c>
      <c r="G5" s="3" t="s">
        <v>29</v>
      </c>
    </row>
    <row r="6" spans="1:7">
      <c r="A6" s="10"/>
      <c r="B6" s="3" t="s">
        <v>8</v>
      </c>
      <c r="C6" s="3">
        <v>1</v>
      </c>
      <c r="D6" s="4">
        <v>340</v>
      </c>
      <c r="E6" s="7">
        <f t="shared" si="0"/>
        <v>340</v>
      </c>
      <c r="F6" s="3" t="s">
        <v>29</v>
      </c>
      <c r="G6" s="3" t="s">
        <v>29</v>
      </c>
    </row>
    <row r="7" spans="1:7">
      <c r="A7" s="10"/>
      <c r="B7" s="3" t="s">
        <v>8</v>
      </c>
      <c r="C7" s="3">
        <v>1</v>
      </c>
      <c r="D7" s="4">
        <v>340</v>
      </c>
      <c r="E7" s="7">
        <f t="shared" si="0"/>
        <v>340</v>
      </c>
      <c r="F7" s="3" t="s">
        <v>29</v>
      </c>
      <c r="G7" s="3" t="s">
        <v>29</v>
      </c>
    </row>
    <row r="8" spans="1:7">
      <c r="A8" s="10"/>
      <c r="B8" s="3" t="s">
        <v>13</v>
      </c>
      <c r="C8" s="3">
        <v>1</v>
      </c>
      <c r="D8" s="4">
        <v>385</v>
      </c>
      <c r="E8" s="7">
        <f t="shared" si="0"/>
        <v>385</v>
      </c>
      <c r="F8" s="3" t="s">
        <v>29</v>
      </c>
      <c r="G8" s="3" t="s">
        <v>29</v>
      </c>
    </row>
    <row r="9" spans="1:7">
      <c r="A9" s="10"/>
      <c r="B9" s="3" t="s">
        <v>13</v>
      </c>
      <c r="C9" s="3">
        <v>1</v>
      </c>
      <c r="D9" s="4">
        <v>385</v>
      </c>
      <c r="E9" s="7">
        <f t="shared" si="0"/>
        <v>385</v>
      </c>
      <c r="F9" s="3" t="s">
        <v>29</v>
      </c>
      <c r="G9" s="3" t="s">
        <v>29</v>
      </c>
    </row>
    <row r="10" spans="1:7">
      <c r="A10" s="10"/>
      <c r="B10" s="3" t="s">
        <v>13</v>
      </c>
      <c r="C10" s="3">
        <v>1</v>
      </c>
      <c r="D10" s="4">
        <v>385</v>
      </c>
      <c r="E10" s="7">
        <f t="shared" si="0"/>
        <v>385</v>
      </c>
      <c r="F10" s="3" t="s">
        <v>29</v>
      </c>
      <c r="G10" s="3" t="s">
        <v>29</v>
      </c>
    </row>
    <row r="11" spans="1:7">
      <c r="A11" s="10"/>
      <c r="B11" s="3" t="s">
        <v>11</v>
      </c>
      <c r="C11" s="3">
        <v>1</v>
      </c>
      <c r="D11" s="4">
        <v>320</v>
      </c>
      <c r="E11" s="7">
        <f t="shared" si="0"/>
        <v>320</v>
      </c>
      <c r="F11" s="3" t="s">
        <v>29</v>
      </c>
      <c r="G11" s="3" t="s">
        <v>29</v>
      </c>
    </row>
    <row r="12" spans="1:7">
      <c r="A12" s="10"/>
      <c r="B12" s="3" t="s">
        <v>14</v>
      </c>
      <c r="C12" s="3">
        <v>1</v>
      </c>
      <c r="D12" s="4">
        <v>450</v>
      </c>
      <c r="E12" s="7">
        <f t="shared" si="0"/>
        <v>450</v>
      </c>
      <c r="F12" s="3" t="s">
        <v>29</v>
      </c>
      <c r="G12" s="3" t="s">
        <v>29</v>
      </c>
    </row>
    <row r="13" spans="1:7">
      <c r="A13" s="10"/>
      <c r="B13" s="3" t="s">
        <v>14</v>
      </c>
      <c r="C13" s="3">
        <v>1</v>
      </c>
      <c r="D13" s="4">
        <v>450</v>
      </c>
      <c r="E13" s="7">
        <f t="shared" si="0"/>
        <v>450</v>
      </c>
      <c r="F13" s="3" t="s">
        <v>29</v>
      </c>
      <c r="G13" s="3" t="s">
        <v>29</v>
      </c>
    </row>
    <row r="14" spans="1:7">
      <c r="A14" s="10"/>
      <c r="B14" s="3" t="s">
        <v>13</v>
      </c>
      <c r="C14" s="3">
        <v>1</v>
      </c>
      <c r="D14" s="4">
        <v>385</v>
      </c>
      <c r="E14" s="7">
        <f t="shared" si="0"/>
        <v>385</v>
      </c>
      <c r="F14" s="3" t="s">
        <v>29</v>
      </c>
      <c r="G14" s="3" t="s">
        <v>29</v>
      </c>
    </row>
    <row r="15" spans="1:7">
      <c r="A15" s="10"/>
      <c r="B15" s="3" t="s">
        <v>8</v>
      </c>
      <c r="C15" s="3">
        <v>1</v>
      </c>
      <c r="D15" s="4">
        <v>340</v>
      </c>
      <c r="E15" s="7">
        <f t="shared" si="0"/>
        <v>340</v>
      </c>
      <c r="F15" s="3" t="s">
        <v>29</v>
      </c>
      <c r="G15" s="3" t="s">
        <v>29</v>
      </c>
    </row>
    <row r="16" spans="1:7">
      <c r="A16" s="10"/>
      <c r="B16" s="3" t="s">
        <v>8</v>
      </c>
      <c r="C16" s="3">
        <v>1</v>
      </c>
      <c r="D16" s="4">
        <v>340</v>
      </c>
      <c r="E16" s="7">
        <f t="shared" si="0"/>
        <v>340</v>
      </c>
      <c r="F16" s="3" t="s">
        <v>29</v>
      </c>
      <c r="G16" s="3" t="s">
        <v>29</v>
      </c>
    </row>
    <row r="17" spans="1:7">
      <c r="A17" s="10"/>
      <c r="B17" s="3"/>
      <c r="C17" s="3">
        <v>0</v>
      </c>
      <c r="D17" s="4">
        <v>0</v>
      </c>
      <c r="E17" s="7">
        <f t="shared" si="0"/>
        <v>0</v>
      </c>
      <c r="F17" s="3"/>
      <c r="G17" s="3"/>
    </row>
    <row r="18" spans="1:7">
      <c r="A18" s="10"/>
      <c r="B18" s="3"/>
      <c r="C18" s="3">
        <v>0</v>
      </c>
      <c r="D18" s="4">
        <v>0</v>
      </c>
      <c r="E18" s="7">
        <f t="shared" si="0"/>
        <v>0</v>
      </c>
      <c r="F18" s="3"/>
      <c r="G18" s="3"/>
    </row>
    <row r="19" spans="1:7">
      <c r="A19" s="10"/>
      <c r="B19" s="3"/>
      <c r="C19" s="3">
        <v>0</v>
      </c>
      <c r="D19" s="4">
        <v>0</v>
      </c>
      <c r="E19" s="7">
        <f t="shared" si="0"/>
        <v>0</v>
      </c>
      <c r="F19" s="3"/>
      <c r="G19" s="3"/>
    </row>
    <row r="20" spans="1:7">
      <c r="A20" s="10"/>
      <c r="B20" s="3"/>
      <c r="C20" s="3">
        <v>0</v>
      </c>
      <c r="D20" s="4">
        <v>0</v>
      </c>
      <c r="E20" s="7">
        <f t="shared" si="0"/>
        <v>0</v>
      </c>
      <c r="F20" s="3"/>
      <c r="G20" s="3"/>
    </row>
    <row r="21" spans="1:7">
      <c r="A21" s="10"/>
      <c r="B21" s="3"/>
      <c r="C21" s="3">
        <v>0</v>
      </c>
      <c r="D21" s="4">
        <v>0</v>
      </c>
      <c r="E21" s="7">
        <f t="shared" si="0"/>
        <v>0</v>
      </c>
      <c r="F21" s="3"/>
      <c r="G21" s="3"/>
    </row>
    <row r="22" spans="1:7">
      <c r="A22" s="10"/>
      <c r="B22" s="3"/>
      <c r="C22" s="3">
        <v>0</v>
      </c>
      <c r="D22" s="4">
        <v>0</v>
      </c>
      <c r="E22" s="7">
        <f t="shared" si="0"/>
        <v>0</v>
      </c>
      <c r="F22" s="3"/>
      <c r="G22" s="3"/>
    </row>
    <row r="23" spans="1:7">
      <c r="A23" s="10"/>
      <c r="B23" s="3"/>
      <c r="C23" s="3">
        <v>0</v>
      </c>
      <c r="D23" s="4">
        <v>0</v>
      </c>
      <c r="E23" s="7">
        <f t="shared" si="0"/>
        <v>0</v>
      </c>
      <c r="F23" s="3"/>
      <c r="G23" s="3"/>
    </row>
    <row r="24" spans="1:7">
      <c r="A24" s="10"/>
      <c r="B24" s="3"/>
      <c r="C24" s="3">
        <v>0</v>
      </c>
      <c r="D24" s="4">
        <v>0</v>
      </c>
      <c r="E24" s="7">
        <f t="shared" si="0"/>
        <v>0</v>
      </c>
      <c r="F24" s="3"/>
      <c r="G24" s="3"/>
    </row>
    <row r="25" spans="1:7">
      <c r="A25" s="10"/>
      <c r="B25" s="3"/>
      <c r="C25" s="3">
        <v>0</v>
      </c>
      <c r="D25" s="4">
        <v>0</v>
      </c>
      <c r="E25" s="7">
        <f t="shared" si="0"/>
        <v>0</v>
      </c>
      <c r="F25" s="3"/>
      <c r="G25" s="3"/>
    </row>
    <row r="26" spans="1:7">
      <c r="A26" s="10"/>
      <c r="B26" s="3"/>
      <c r="C26" s="3">
        <v>0</v>
      </c>
      <c r="D26" s="4">
        <v>0</v>
      </c>
      <c r="E26" s="7">
        <f t="shared" si="0"/>
        <v>0</v>
      </c>
      <c r="F26" s="3"/>
      <c r="G26" s="3"/>
    </row>
    <row r="27" spans="1:7">
      <c r="A27" s="10"/>
      <c r="B27" s="3"/>
      <c r="C27" s="3">
        <v>0</v>
      </c>
      <c r="D27" s="4">
        <v>0</v>
      </c>
      <c r="E27" s="7">
        <f t="shared" si="0"/>
        <v>0</v>
      </c>
      <c r="F27" s="3"/>
      <c r="G27" s="3"/>
    </row>
    <row r="28" spans="1:7">
      <c r="A28" s="10"/>
      <c r="B28" s="3"/>
      <c r="C28" s="3">
        <v>0</v>
      </c>
      <c r="D28" s="4">
        <v>0</v>
      </c>
      <c r="E28" s="7">
        <f t="shared" si="0"/>
        <v>0</v>
      </c>
      <c r="F28" s="3"/>
      <c r="G28" s="3"/>
    </row>
    <row r="29" spans="1:7">
      <c r="A29" s="10"/>
      <c r="B29" s="3"/>
      <c r="C29" s="3">
        <v>0</v>
      </c>
      <c r="D29" s="4">
        <v>0</v>
      </c>
      <c r="E29" s="7">
        <f t="shared" si="0"/>
        <v>0</v>
      </c>
      <c r="F29" s="3"/>
      <c r="G29" s="3"/>
    </row>
    <row r="30" spans="1:7">
      <c r="A30" s="10"/>
      <c r="B30" s="3"/>
      <c r="C30" s="3">
        <v>0</v>
      </c>
      <c r="D30" s="4">
        <v>0</v>
      </c>
      <c r="E30" s="7">
        <f t="shared" si="0"/>
        <v>0</v>
      </c>
      <c r="F30" s="3"/>
      <c r="G30" s="3"/>
    </row>
    <row r="31" spans="1:7">
      <c r="A31" s="10"/>
      <c r="B31" s="3"/>
      <c r="C31" s="3">
        <v>0</v>
      </c>
      <c r="D31" s="4">
        <v>0</v>
      </c>
      <c r="E31" s="7">
        <f t="shared" si="0"/>
        <v>0</v>
      </c>
      <c r="F31" s="3"/>
      <c r="G31" s="3"/>
    </row>
    <row r="32" spans="1:7">
      <c r="A32" s="10"/>
      <c r="B32" s="3"/>
      <c r="C32" s="3">
        <v>0</v>
      </c>
      <c r="D32" s="4">
        <v>0</v>
      </c>
      <c r="E32" s="7">
        <f t="shared" si="0"/>
        <v>0</v>
      </c>
      <c r="F32" s="3"/>
      <c r="G32" s="3"/>
    </row>
    <row r="33" spans="1:7">
      <c r="A33" s="10"/>
      <c r="B33" s="3"/>
      <c r="C33" s="3">
        <v>0</v>
      </c>
      <c r="D33" s="4">
        <v>0</v>
      </c>
      <c r="E33" s="7">
        <f t="shared" si="0"/>
        <v>0</v>
      </c>
      <c r="F33" s="3"/>
      <c r="G33" s="3"/>
    </row>
    <row r="34" spans="1:7">
      <c r="A34" s="10"/>
      <c r="B34" s="3"/>
      <c r="C34" s="3">
        <v>0</v>
      </c>
      <c r="D34" s="4">
        <v>0</v>
      </c>
      <c r="E34" s="7">
        <f t="shared" si="0"/>
        <v>0</v>
      </c>
      <c r="F34" s="3"/>
      <c r="G34" s="3"/>
    </row>
    <row r="35" spans="1:7">
      <c r="A35" s="10"/>
      <c r="B35" s="3"/>
      <c r="C35" s="3">
        <v>0</v>
      </c>
      <c r="D35" s="4">
        <v>0</v>
      </c>
      <c r="E35" s="7">
        <f t="shared" si="0"/>
        <v>0</v>
      </c>
      <c r="F35" s="3"/>
      <c r="G35" s="3"/>
    </row>
    <row r="36" spans="1:7">
      <c r="A36" s="10"/>
      <c r="B36" s="3"/>
      <c r="C36" s="3">
        <v>0</v>
      </c>
      <c r="D36" s="4">
        <v>0</v>
      </c>
      <c r="E36" s="7">
        <f t="shared" si="0"/>
        <v>0</v>
      </c>
      <c r="F36" s="3"/>
      <c r="G36" s="3"/>
    </row>
    <row r="37" spans="1:7">
      <c r="A37" s="10"/>
      <c r="B37" s="3"/>
      <c r="C37" s="3">
        <v>0</v>
      </c>
      <c r="D37" s="4">
        <v>0</v>
      </c>
      <c r="E37" s="7">
        <f t="shared" si="0"/>
        <v>0</v>
      </c>
      <c r="F37" s="3"/>
      <c r="G37" s="3"/>
    </row>
    <row r="38" spans="1:7">
      <c r="A38" s="10"/>
      <c r="B38" s="3"/>
      <c r="C38" s="3">
        <v>0</v>
      </c>
      <c r="D38" s="4">
        <v>0</v>
      </c>
      <c r="E38" s="7">
        <f t="shared" si="0"/>
        <v>0</v>
      </c>
      <c r="F38" s="3"/>
      <c r="G38" s="3"/>
    </row>
    <row r="39" spans="1:7">
      <c r="A39" s="10"/>
      <c r="B39" s="3"/>
      <c r="C39" s="3">
        <v>0</v>
      </c>
      <c r="D39" s="4">
        <v>0</v>
      </c>
      <c r="E39" s="7">
        <f t="shared" si="0"/>
        <v>0</v>
      </c>
      <c r="F39" s="3"/>
      <c r="G39" s="3"/>
    </row>
    <row r="40" spans="1:7">
      <c r="A40" s="10"/>
      <c r="B40" s="3"/>
      <c r="C40" s="3">
        <v>0</v>
      </c>
      <c r="D40" s="4">
        <v>0</v>
      </c>
      <c r="E40" s="7">
        <f t="shared" si="0"/>
        <v>0</v>
      </c>
      <c r="F40" s="3"/>
      <c r="G40" s="3"/>
    </row>
    <row r="41" spans="1:7">
      <c r="A41" s="10"/>
      <c r="B41" s="3"/>
      <c r="C41" s="3">
        <v>0</v>
      </c>
      <c r="D41" s="4">
        <v>0</v>
      </c>
      <c r="E41" s="7">
        <f t="shared" si="0"/>
        <v>0</v>
      </c>
      <c r="F41" s="3"/>
      <c r="G41" s="3"/>
    </row>
    <row r="42" spans="1:7">
      <c r="A42" s="10"/>
      <c r="B42" s="3"/>
      <c r="C42" s="3">
        <v>0</v>
      </c>
      <c r="D42" s="4">
        <v>0</v>
      </c>
      <c r="E42" s="7">
        <f t="shared" si="0"/>
        <v>0</v>
      </c>
      <c r="F42" s="3"/>
      <c r="G42" s="3"/>
    </row>
    <row r="43" spans="1:7">
      <c r="A43" s="10"/>
      <c r="B43" s="3"/>
      <c r="C43" s="3">
        <v>0</v>
      </c>
      <c r="D43" s="4">
        <v>0</v>
      </c>
      <c r="E43" s="7">
        <f t="shared" si="0"/>
        <v>0</v>
      </c>
      <c r="F43" s="3"/>
      <c r="G43" s="3"/>
    </row>
    <row r="44" spans="1:7">
      <c r="A44" s="10"/>
      <c r="B44" s="3"/>
      <c r="C44" s="3">
        <v>0</v>
      </c>
      <c r="D44" s="4">
        <v>0</v>
      </c>
      <c r="E44" s="7">
        <f t="shared" si="0"/>
        <v>0</v>
      </c>
      <c r="F44" s="3"/>
      <c r="G44" s="3"/>
    </row>
    <row r="45" spans="1:7">
      <c r="A45" s="10"/>
      <c r="B45" s="3"/>
      <c r="C45" s="3">
        <v>0</v>
      </c>
      <c r="D45" s="4">
        <v>0</v>
      </c>
      <c r="E45" s="7">
        <f t="shared" si="0"/>
        <v>0</v>
      </c>
      <c r="F45" s="3"/>
      <c r="G45" s="3"/>
    </row>
    <row r="46" spans="1:7">
      <c r="A46" s="10"/>
      <c r="B46" s="3"/>
      <c r="C46" s="3">
        <v>0</v>
      </c>
      <c r="D46" s="4">
        <v>0</v>
      </c>
      <c r="E46" s="7">
        <f t="shared" si="0"/>
        <v>0</v>
      </c>
      <c r="F46" s="3"/>
      <c r="G46" s="3"/>
    </row>
    <row r="47" spans="1:7">
      <c r="A47" s="10"/>
      <c r="B47" s="3"/>
      <c r="C47" s="3">
        <v>0</v>
      </c>
      <c r="D47" s="4">
        <v>0</v>
      </c>
      <c r="E47" s="7">
        <f t="shared" si="0"/>
        <v>0</v>
      </c>
      <c r="F47" s="3"/>
      <c r="G47" s="3"/>
    </row>
    <row r="48" spans="1:7">
      <c r="A48" s="10"/>
      <c r="B48" s="3"/>
      <c r="C48" s="3">
        <v>0</v>
      </c>
      <c r="D48" s="4">
        <v>0</v>
      </c>
      <c r="E48" s="7">
        <f t="shared" si="0"/>
        <v>0</v>
      </c>
      <c r="F48" s="3"/>
      <c r="G48" s="3"/>
    </row>
    <row r="49" spans="1:7">
      <c r="A49" s="10"/>
      <c r="B49" s="3"/>
      <c r="C49" s="3">
        <v>0</v>
      </c>
      <c r="D49" s="4">
        <v>0</v>
      </c>
      <c r="E49" s="7">
        <f t="shared" si="0"/>
        <v>0</v>
      </c>
      <c r="F49" s="3"/>
      <c r="G49" s="3"/>
    </row>
    <row r="50" spans="1:7">
      <c r="A50" s="10"/>
      <c r="B50" s="3"/>
      <c r="C50" s="3">
        <v>0</v>
      </c>
      <c r="D50" s="4">
        <v>0</v>
      </c>
      <c r="E50" s="7">
        <f t="shared" si="0"/>
        <v>0</v>
      </c>
      <c r="F50" s="3"/>
      <c r="G50" s="3"/>
    </row>
  </sheetData>
  <sheetProtection algorithmName="SHA-512" hashValue="RJXDogRcBSiwiVNxxRIp5fOhmvWXNchEcxP3G5GCdGGhha+VooO1VD3/h/q1f2DNrk3eXndMWS7TWn3RI5azAw==" saltValue="R4uRhUCTOdtf8PUb4SDOBA==" spinCount="100000" sheet="1" objects="1" scenarios="1"/>
  <dataValidations count="3">
    <dataValidation type="list" allowBlank="1" showInputMessage="1" showErrorMessage="1" sqref="F3:F50" xr:uid="{A54A1E4E-4193-473E-9091-63E0AC73B386}">
      <formula1>"Cash, Card, EFT"</formula1>
    </dataValidation>
    <dataValidation type="list" allowBlank="1" showInputMessage="1" showErrorMessage="1" sqref="G3:G50" xr:uid="{936961B7-5C56-4963-9C4A-5F1CBA6A5323}">
      <formula1>"Cash, Credit"</formula1>
    </dataValidation>
    <dataValidation type="date" allowBlank="1" showInputMessage="1" showErrorMessage="1" sqref="A3:A50" xr:uid="{DB25C96B-E488-4656-8901-3FC7E2F02052}">
      <formula1>1</formula1>
      <formula2>31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activeCell="B13" sqref="B13"/>
    </sheetView>
  </sheetViews>
  <sheetFormatPr defaultColWidth="8.7109375" defaultRowHeight="14.45"/>
  <cols>
    <col min="1" max="1" width="32.140625" style="2" customWidth="1"/>
    <col min="2" max="2" width="16.28515625" style="2" customWidth="1"/>
    <col min="3" max="16384" width="8.7109375" style="2"/>
  </cols>
  <sheetData>
    <row r="1" spans="1:2" ht="15" thickBot="1">
      <c r="B1" s="2" t="s">
        <v>30</v>
      </c>
    </row>
    <row r="2" spans="1:2">
      <c r="A2" s="2" t="s">
        <v>31</v>
      </c>
      <c r="B2" s="13">
        <v>4755</v>
      </c>
    </row>
    <row r="3" spans="1:2" ht="15" thickBot="1">
      <c r="A3" s="2" t="s">
        <v>32</v>
      </c>
      <c r="B3" s="14">
        <v>1640</v>
      </c>
    </row>
    <row r="4" spans="1:2">
      <c r="A4" s="1" t="s">
        <v>33</v>
      </c>
      <c r="B4" s="17">
        <f>SUM(B2-B3)</f>
        <v>3115</v>
      </c>
    </row>
    <row r="5" spans="1:2">
      <c r="A5" s="1" t="s">
        <v>34</v>
      </c>
      <c r="B5" s="18">
        <f>B4/B2</f>
        <v>0.65509989484752895</v>
      </c>
    </row>
    <row r="6" spans="1:2" ht="15" thickBot="1">
      <c r="A6" s="1" t="s">
        <v>35</v>
      </c>
      <c r="B6" s="17">
        <f>SUM(B7:B20)</f>
        <v>1000</v>
      </c>
    </row>
    <row r="7" spans="1:2">
      <c r="A7" s="2" t="s">
        <v>36</v>
      </c>
      <c r="B7" s="13">
        <v>0</v>
      </c>
    </row>
    <row r="8" spans="1:2">
      <c r="A8" s="2" t="s">
        <v>37</v>
      </c>
      <c r="B8" s="16">
        <v>0</v>
      </c>
    </row>
    <row r="9" spans="1:2">
      <c r="A9" s="2" t="s">
        <v>38</v>
      </c>
      <c r="B9" s="16">
        <v>200</v>
      </c>
    </row>
    <row r="10" spans="1:2">
      <c r="A10" s="2" t="s">
        <v>39</v>
      </c>
      <c r="B10" s="16">
        <v>350</v>
      </c>
    </row>
    <row r="11" spans="1:2">
      <c r="A11" s="2" t="s">
        <v>40</v>
      </c>
      <c r="B11" s="16">
        <v>450</v>
      </c>
    </row>
    <row r="12" spans="1:2">
      <c r="A12" s="2" t="s">
        <v>41</v>
      </c>
      <c r="B12" s="16">
        <v>0</v>
      </c>
    </row>
    <row r="13" spans="1:2">
      <c r="A13" s="2" t="s">
        <v>41</v>
      </c>
      <c r="B13" s="16">
        <v>0</v>
      </c>
    </row>
    <row r="14" spans="1:2">
      <c r="A14" s="2" t="s">
        <v>41</v>
      </c>
      <c r="B14" s="16">
        <v>0</v>
      </c>
    </row>
    <row r="15" spans="1:2">
      <c r="A15" s="2" t="s">
        <v>41</v>
      </c>
      <c r="B15" s="16">
        <v>0</v>
      </c>
    </row>
    <row r="16" spans="1:2">
      <c r="A16" s="2" t="s">
        <v>41</v>
      </c>
      <c r="B16" s="16">
        <v>0</v>
      </c>
    </row>
    <row r="17" spans="1:2">
      <c r="A17" s="2" t="s">
        <v>41</v>
      </c>
      <c r="B17" s="16">
        <v>0</v>
      </c>
    </row>
    <row r="18" spans="1:2">
      <c r="A18" s="2" t="s">
        <v>41</v>
      </c>
      <c r="B18" s="16">
        <v>0</v>
      </c>
    </row>
    <row r="19" spans="1:2">
      <c r="A19" s="2" t="s">
        <v>41</v>
      </c>
      <c r="B19" s="16">
        <v>0</v>
      </c>
    </row>
    <row r="20" spans="1:2" ht="15" thickBot="1">
      <c r="A20" s="2" t="s">
        <v>41</v>
      </c>
      <c r="B20" s="14">
        <v>0</v>
      </c>
    </row>
    <row r="21" spans="1:2" ht="15" thickBot="1">
      <c r="B21" s="15"/>
    </row>
    <row r="22" spans="1:2">
      <c r="A22" s="1" t="s">
        <v>42</v>
      </c>
      <c r="B22" s="19">
        <f>SUM(B4-B6)</f>
        <v>2115</v>
      </c>
    </row>
    <row r="23" spans="1:2" ht="15" thickBot="1">
      <c r="A23" s="2" t="s">
        <v>43</v>
      </c>
      <c r="B23" s="20">
        <f>SUM(B22*27%)</f>
        <v>571.05000000000007</v>
      </c>
    </row>
    <row r="24" spans="1:2" ht="15" thickBot="1">
      <c r="A24" s="1" t="s">
        <v>44</v>
      </c>
      <c r="B24" s="21">
        <f>B22-B23</f>
        <v>1543.9499999999998</v>
      </c>
    </row>
  </sheetData>
  <sheetProtection algorithmName="SHA-512" hashValue="e0MUcQbqOuIscpMt/33/4HRf72IUKekeq6JKduXwRYB19YNReK1lqjg3aZZiv3l45Vrlfdlo+yIVK+dapilSJw==" saltValue="zAyo8MnuVItEnoz4aqgUOA==" spinCount="100000" sheet="1" objects="1" scenarios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CCBA-27F9-47A1-9087-377318CE7DB1}">
  <dimension ref="A1:B36"/>
  <sheetViews>
    <sheetView workbookViewId="0">
      <selection activeCell="B33" sqref="B33"/>
    </sheetView>
  </sheetViews>
  <sheetFormatPr defaultColWidth="8.7109375" defaultRowHeight="14.45"/>
  <cols>
    <col min="1" max="1" width="41.5703125" style="2" customWidth="1"/>
    <col min="2" max="2" width="15.5703125" style="2" customWidth="1"/>
    <col min="3" max="16384" width="8.7109375" style="2"/>
  </cols>
  <sheetData>
    <row r="1" spans="1:2">
      <c r="B1" s="2" t="s">
        <v>45</v>
      </c>
    </row>
    <row r="3" spans="1:2" ht="15.95" customHeight="1">
      <c r="A3" s="22" t="s">
        <v>31</v>
      </c>
      <c r="B3" s="23">
        <v>4755</v>
      </c>
    </row>
    <row r="4" spans="1:2" ht="15.95" customHeight="1">
      <c r="A4" s="22" t="s">
        <v>46</v>
      </c>
      <c r="B4" s="24"/>
    </row>
    <row r="5" spans="1:2" ht="18.600000000000001" customHeight="1">
      <c r="A5" s="25" t="s">
        <v>1</v>
      </c>
      <c r="B5" s="24">
        <v>1340</v>
      </c>
    </row>
    <row r="6" spans="1:2" ht="12.95" customHeight="1">
      <c r="A6" s="25" t="s">
        <v>47</v>
      </c>
      <c r="B6" s="24">
        <v>0</v>
      </c>
    </row>
    <row r="7" spans="1:2" ht="18.95" customHeight="1">
      <c r="A7" s="25" t="s">
        <v>48</v>
      </c>
      <c r="B7" s="24">
        <v>300</v>
      </c>
    </row>
    <row r="8" spans="1:2" ht="18.600000000000001" customHeight="1">
      <c r="A8" s="22" t="s">
        <v>49</v>
      </c>
      <c r="B8" s="29">
        <f>SUM(B5:B7)</f>
        <v>1640</v>
      </c>
    </row>
    <row r="9" spans="1:2">
      <c r="A9" s="25"/>
      <c r="B9" s="24"/>
    </row>
    <row r="10" spans="1:2" ht="21.6" customHeight="1">
      <c r="A10" s="22" t="s">
        <v>50</v>
      </c>
      <c r="B10" s="24"/>
    </row>
    <row r="11" spans="1:2" ht="18.600000000000001" customHeight="1">
      <c r="A11" s="25" t="s">
        <v>51</v>
      </c>
      <c r="B11" s="24">
        <v>0</v>
      </c>
    </row>
    <row r="12" spans="1:2" ht="18.95" customHeight="1">
      <c r="A12" s="25" t="s">
        <v>52</v>
      </c>
      <c r="B12" s="30">
        <f>B8</f>
        <v>1640</v>
      </c>
    </row>
    <row r="13" spans="1:2" ht="18.95" customHeight="1">
      <c r="A13" s="25" t="s">
        <v>53</v>
      </c>
      <c r="B13" s="24">
        <v>0</v>
      </c>
    </row>
    <row r="14" spans="1:2" ht="21.6" customHeight="1">
      <c r="A14" s="22" t="s">
        <v>54</v>
      </c>
      <c r="B14" s="29">
        <f>SUM(B11+B12-B13)</f>
        <v>1640</v>
      </c>
    </row>
    <row r="15" spans="1:2">
      <c r="A15" s="25"/>
      <c r="B15" s="24"/>
    </row>
    <row r="16" spans="1:2" ht="15.95" customHeight="1">
      <c r="A16" s="22" t="s">
        <v>55</v>
      </c>
      <c r="B16" s="29">
        <f>B3-B14</f>
        <v>3115</v>
      </c>
    </row>
    <row r="17" spans="1:2">
      <c r="A17" s="25"/>
      <c r="B17" s="24"/>
    </row>
    <row r="18" spans="1:2" ht="18.600000000000001" customHeight="1" thickBot="1">
      <c r="A18" s="22" t="s">
        <v>56</v>
      </c>
      <c r="B18" s="29">
        <f>SUM(B19:B32)</f>
        <v>1150</v>
      </c>
    </row>
    <row r="19" spans="1:2">
      <c r="A19" s="25" t="s">
        <v>57</v>
      </c>
      <c r="B19" s="26">
        <v>0</v>
      </c>
    </row>
    <row r="20" spans="1:2" ht="15">
      <c r="A20" s="25" t="s">
        <v>58</v>
      </c>
      <c r="B20" s="27">
        <v>0</v>
      </c>
    </row>
    <row r="21" spans="1:2" ht="15">
      <c r="A21" s="25" t="s">
        <v>59</v>
      </c>
      <c r="B21" s="27">
        <v>350</v>
      </c>
    </row>
    <row r="22" spans="1:2" ht="15">
      <c r="A22" s="25" t="s">
        <v>60</v>
      </c>
      <c r="B22" s="27">
        <v>200</v>
      </c>
    </row>
    <row r="23" spans="1:2" ht="15">
      <c r="A23" s="25" t="s">
        <v>61</v>
      </c>
      <c r="B23" s="27">
        <v>450</v>
      </c>
    </row>
    <row r="24" spans="1:2" ht="15">
      <c r="A24" s="25" t="s">
        <v>62</v>
      </c>
      <c r="B24" s="27">
        <v>150</v>
      </c>
    </row>
    <row r="25" spans="1:2" ht="15">
      <c r="A25" s="25" t="s">
        <v>63</v>
      </c>
      <c r="B25" s="27">
        <v>0</v>
      </c>
    </row>
    <row r="26" spans="1:2">
      <c r="A26" s="25" t="s">
        <v>63</v>
      </c>
      <c r="B26" s="27"/>
    </row>
    <row r="27" spans="1:2" ht="15">
      <c r="A27" s="25" t="s">
        <v>63</v>
      </c>
      <c r="B27" s="27">
        <v>0</v>
      </c>
    </row>
    <row r="28" spans="1:2" ht="15">
      <c r="A28" s="25" t="s">
        <v>63</v>
      </c>
      <c r="B28" s="27">
        <v>0</v>
      </c>
    </row>
    <row r="29" spans="1:2">
      <c r="A29" s="25" t="s">
        <v>63</v>
      </c>
      <c r="B29" s="27">
        <v>0</v>
      </c>
    </row>
    <row r="30" spans="1:2" ht="15">
      <c r="A30" s="25" t="s">
        <v>63</v>
      </c>
      <c r="B30" s="27">
        <v>0</v>
      </c>
    </row>
    <row r="31" spans="1:2" ht="15">
      <c r="A31" s="25" t="s">
        <v>63</v>
      </c>
      <c r="B31" s="27">
        <v>0</v>
      </c>
    </row>
    <row r="32" spans="1:2" ht="15">
      <c r="A32" s="25" t="s">
        <v>63</v>
      </c>
      <c r="B32" s="28">
        <v>0</v>
      </c>
    </row>
    <row r="33" spans="1:2">
      <c r="A33" s="25"/>
      <c r="B33" s="24"/>
    </row>
    <row r="34" spans="1:2" ht="17.45" customHeight="1">
      <c r="A34" s="22" t="s">
        <v>42</v>
      </c>
      <c r="B34" s="29">
        <f>B16-B18</f>
        <v>1965</v>
      </c>
    </row>
    <row r="35" spans="1:2" ht="21" customHeight="1" thickBot="1">
      <c r="A35" s="25" t="s">
        <v>64</v>
      </c>
      <c r="B35" s="30">
        <f>SUM(B34*27%)</f>
        <v>530.55000000000007</v>
      </c>
    </row>
    <row r="36" spans="1:2" ht="20.45" customHeight="1" thickBot="1">
      <c r="A36" s="22" t="s">
        <v>44</v>
      </c>
      <c r="B36" s="21">
        <f>SUM(B34-B35)</f>
        <v>1434.4499999999998</v>
      </c>
    </row>
  </sheetData>
  <sheetProtection algorithmName="SHA-512" hashValue="qM0pkyj6ttzgqLQHqVfzGwhOHiCvDI/9rVHMkrS1PhdwQlsbbBZHlHDgtnYdtNXOZKc1i/bhWV6B1XnJpmo64g==" saltValue="LQqoiQyQ1ak0UDsuqp9R6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selection activeCell="B4" sqref="B4"/>
    </sheetView>
  </sheetViews>
  <sheetFormatPr defaultColWidth="8.7109375" defaultRowHeight="14.45"/>
  <cols>
    <col min="1" max="2" width="16.85546875" style="2" customWidth="1"/>
    <col min="3" max="3" width="14.42578125" style="2" customWidth="1"/>
    <col min="4" max="4" width="16.7109375" style="2" customWidth="1"/>
    <col min="5" max="5" width="16.5703125" style="2" customWidth="1"/>
    <col min="6" max="16384" width="8.7109375" style="2"/>
  </cols>
  <sheetData>
    <row r="1" spans="1:5" s="1" customFormat="1" ht="1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s="1" customFormat="1" ht="15"/>
    <row r="3" spans="1:5" ht="15">
      <c r="A3" s="3" t="s">
        <v>70</v>
      </c>
      <c r="B3" s="4">
        <v>1000</v>
      </c>
      <c r="C3" s="4">
        <v>4755</v>
      </c>
      <c r="D3" s="4">
        <v>3357.05</v>
      </c>
      <c r="E3" s="5">
        <f>SUM(B3+C3)-D3</f>
        <v>2397.9499999999998</v>
      </c>
    </row>
    <row r="4" spans="1:5" ht="15">
      <c r="A4" s="3" t="s">
        <v>71</v>
      </c>
      <c r="B4" s="5">
        <f>E3</f>
        <v>2397.9499999999998</v>
      </c>
      <c r="C4" s="4">
        <v>0</v>
      </c>
      <c r="D4" s="4">
        <v>0</v>
      </c>
      <c r="E4" s="5">
        <f t="shared" ref="E4:E14" si="0">SUM(B4+C4)-D4</f>
        <v>2397.9499999999998</v>
      </c>
    </row>
    <row r="5" spans="1:5" ht="15">
      <c r="A5" s="3" t="s">
        <v>72</v>
      </c>
      <c r="B5" s="5">
        <f t="shared" ref="B5:B14" si="1">E4</f>
        <v>2397.9499999999998</v>
      </c>
      <c r="C5" s="4">
        <v>0</v>
      </c>
      <c r="D5" s="4">
        <v>0</v>
      </c>
      <c r="E5" s="5">
        <f t="shared" si="0"/>
        <v>2397.9499999999998</v>
      </c>
    </row>
    <row r="6" spans="1:5" ht="15">
      <c r="A6" s="3" t="s">
        <v>73</v>
      </c>
      <c r="B6" s="5">
        <f t="shared" si="1"/>
        <v>2397.9499999999998</v>
      </c>
      <c r="C6" s="4">
        <v>0</v>
      </c>
      <c r="D6" s="4">
        <v>0</v>
      </c>
      <c r="E6" s="5">
        <f t="shared" si="0"/>
        <v>2397.9499999999998</v>
      </c>
    </row>
    <row r="7" spans="1:5" ht="15">
      <c r="A7" s="3" t="s">
        <v>74</v>
      </c>
      <c r="B7" s="5">
        <f t="shared" si="1"/>
        <v>2397.9499999999998</v>
      </c>
      <c r="C7" s="4">
        <v>0</v>
      </c>
      <c r="D7" s="4">
        <v>0</v>
      </c>
      <c r="E7" s="5">
        <f t="shared" si="0"/>
        <v>2397.9499999999998</v>
      </c>
    </row>
    <row r="8" spans="1:5">
      <c r="A8" s="3" t="s">
        <v>75</v>
      </c>
      <c r="B8" s="5">
        <f t="shared" si="1"/>
        <v>2397.9499999999998</v>
      </c>
      <c r="C8" s="4">
        <v>0</v>
      </c>
      <c r="D8" s="4">
        <v>0</v>
      </c>
      <c r="E8" s="5">
        <f t="shared" si="0"/>
        <v>2397.9499999999998</v>
      </c>
    </row>
    <row r="9" spans="1:5">
      <c r="A9" s="3" t="s">
        <v>76</v>
      </c>
      <c r="B9" s="5">
        <f t="shared" si="1"/>
        <v>2397.9499999999998</v>
      </c>
      <c r="C9" s="4">
        <v>0</v>
      </c>
      <c r="D9" s="4">
        <v>0</v>
      </c>
      <c r="E9" s="5">
        <f t="shared" si="0"/>
        <v>2397.9499999999998</v>
      </c>
    </row>
    <row r="10" spans="1:5">
      <c r="A10" s="3" t="s">
        <v>77</v>
      </c>
      <c r="B10" s="5">
        <f t="shared" si="1"/>
        <v>2397.9499999999998</v>
      </c>
      <c r="C10" s="4">
        <v>0</v>
      </c>
      <c r="D10" s="4">
        <v>0</v>
      </c>
      <c r="E10" s="5">
        <f t="shared" si="0"/>
        <v>2397.9499999999998</v>
      </c>
    </row>
    <row r="11" spans="1:5">
      <c r="A11" s="3" t="s">
        <v>78</v>
      </c>
      <c r="B11" s="5">
        <f t="shared" si="1"/>
        <v>2397.9499999999998</v>
      </c>
      <c r="C11" s="4">
        <v>0</v>
      </c>
      <c r="D11" s="4">
        <v>0</v>
      </c>
      <c r="E11" s="5">
        <f t="shared" si="0"/>
        <v>2397.9499999999998</v>
      </c>
    </row>
    <row r="12" spans="1:5">
      <c r="A12" s="3" t="s">
        <v>79</v>
      </c>
      <c r="B12" s="5">
        <f t="shared" si="1"/>
        <v>2397.9499999999998</v>
      </c>
      <c r="C12" s="4">
        <v>0</v>
      </c>
      <c r="D12" s="4">
        <v>0</v>
      </c>
      <c r="E12" s="5">
        <f t="shared" si="0"/>
        <v>2397.9499999999998</v>
      </c>
    </row>
    <row r="13" spans="1:5">
      <c r="A13" s="3" t="s">
        <v>80</v>
      </c>
      <c r="B13" s="5">
        <f t="shared" si="1"/>
        <v>2397.9499999999998</v>
      </c>
      <c r="C13" s="4">
        <v>0</v>
      </c>
      <c r="D13" s="4">
        <v>0</v>
      </c>
      <c r="E13" s="5">
        <f t="shared" si="0"/>
        <v>2397.9499999999998</v>
      </c>
    </row>
    <row r="14" spans="1:5">
      <c r="A14" s="3" t="s">
        <v>81</v>
      </c>
      <c r="B14" s="5">
        <f t="shared" si="1"/>
        <v>2397.9499999999998</v>
      </c>
      <c r="C14" s="4">
        <v>0</v>
      </c>
      <c r="D14" s="4">
        <v>0</v>
      </c>
      <c r="E14" s="5">
        <f t="shared" si="0"/>
        <v>2397.9499999999998</v>
      </c>
    </row>
  </sheetData>
  <sheetProtection algorithmName="SHA-512" hashValue="vuUGgC81/f52gSgopGeM+9+FJpwgL5ytsvJ7jDsn1jmidQUIUVdBNq3t7goFKw/6HXVDRhIp2fz2q0pYKlVjAg==" saltValue="u7qv2I/dLcI0S1JxpuwsSw==" spinCount="100000" sheet="1" objects="1" scenarios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>
      <selection activeCell="G3" sqref="G3:G6"/>
    </sheetView>
  </sheetViews>
  <sheetFormatPr defaultColWidth="8.7109375" defaultRowHeight="14.45"/>
  <cols>
    <col min="1" max="1" width="8.7109375" style="2"/>
    <col min="2" max="2" width="11.85546875" style="2" customWidth="1"/>
    <col min="3" max="3" width="16.42578125" style="2" customWidth="1"/>
    <col min="4" max="4" width="13.85546875" style="2" customWidth="1"/>
    <col min="5" max="5" width="11.42578125" style="2" customWidth="1"/>
    <col min="6" max="6" width="12.42578125" style="2" customWidth="1"/>
    <col min="7" max="7" width="11.42578125" style="2" customWidth="1"/>
    <col min="8" max="16384" width="8.7109375" style="2"/>
  </cols>
  <sheetData>
    <row r="1" spans="1:7" s="1" customFormat="1">
      <c r="A1" s="1" t="s">
        <v>23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 s="1" customFormat="1"/>
    <row r="3" spans="1:7">
      <c r="A3" s="3"/>
      <c r="B3" s="3" t="s">
        <v>88</v>
      </c>
      <c r="C3" s="3">
        <v>0</v>
      </c>
      <c r="D3" s="3">
        <v>7</v>
      </c>
      <c r="E3" s="3">
        <v>7</v>
      </c>
      <c r="F3" s="12">
        <f>(C3+D3)-E3</f>
        <v>0</v>
      </c>
      <c r="G3" s="3" t="s">
        <v>89</v>
      </c>
    </row>
    <row r="4" spans="1:7">
      <c r="A4" s="3"/>
      <c r="B4" s="3" t="s">
        <v>90</v>
      </c>
      <c r="C4" s="12">
        <f>F3</f>
        <v>0</v>
      </c>
      <c r="D4" s="3">
        <v>3</v>
      </c>
      <c r="E4" s="3">
        <v>3</v>
      </c>
      <c r="F4" s="12">
        <f t="shared" ref="F4:F22" si="0">(C4+D4)-E4</f>
        <v>0</v>
      </c>
      <c r="G4" s="3" t="s">
        <v>89</v>
      </c>
    </row>
    <row r="5" spans="1:7">
      <c r="A5" s="3"/>
      <c r="B5" s="3" t="s">
        <v>91</v>
      </c>
      <c r="C5" s="12">
        <f t="shared" ref="C5:C22" si="1">F4</f>
        <v>0</v>
      </c>
      <c r="D5" s="3">
        <v>1</v>
      </c>
      <c r="E5" s="3">
        <v>1</v>
      </c>
      <c r="F5" s="12">
        <f t="shared" si="0"/>
        <v>0</v>
      </c>
      <c r="G5" s="3" t="s">
        <v>89</v>
      </c>
    </row>
    <row r="6" spans="1:7">
      <c r="A6" s="3"/>
      <c r="B6" s="3" t="s">
        <v>92</v>
      </c>
      <c r="C6" s="12">
        <f t="shared" si="1"/>
        <v>0</v>
      </c>
      <c r="D6" s="3">
        <v>2</v>
      </c>
      <c r="E6" s="3">
        <v>2</v>
      </c>
      <c r="F6" s="12">
        <f t="shared" si="0"/>
        <v>0</v>
      </c>
      <c r="G6" s="3" t="s">
        <v>89</v>
      </c>
    </row>
    <row r="7" spans="1:7">
      <c r="A7" s="3"/>
      <c r="B7" s="3" t="s">
        <v>93</v>
      </c>
      <c r="C7" s="12">
        <f t="shared" si="1"/>
        <v>0</v>
      </c>
      <c r="D7" s="3">
        <v>0</v>
      </c>
      <c r="E7" s="3">
        <v>0</v>
      </c>
      <c r="F7" s="12">
        <f t="shared" si="0"/>
        <v>0</v>
      </c>
      <c r="G7" s="3"/>
    </row>
    <row r="8" spans="1:7">
      <c r="A8" s="3"/>
      <c r="B8" s="3" t="s">
        <v>94</v>
      </c>
      <c r="C8" s="12">
        <f t="shared" si="1"/>
        <v>0</v>
      </c>
      <c r="D8" s="3">
        <v>0</v>
      </c>
      <c r="E8" s="3">
        <v>0</v>
      </c>
      <c r="F8" s="12">
        <f t="shared" si="0"/>
        <v>0</v>
      </c>
      <c r="G8" s="3"/>
    </row>
    <row r="9" spans="1:7">
      <c r="A9" s="3"/>
      <c r="B9" s="3" t="s">
        <v>95</v>
      </c>
      <c r="C9" s="12">
        <f t="shared" si="1"/>
        <v>0</v>
      </c>
      <c r="D9" s="3">
        <v>0</v>
      </c>
      <c r="E9" s="3">
        <v>0</v>
      </c>
      <c r="F9" s="12">
        <f t="shared" si="0"/>
        <v>0</v>
      </c>
      <c r="G9" s="3"/>
    </row>
    <row r="10" spans="1:7">
      <c r="A10" s="3"/>
      <c r="B10" s="3" t="s">
        <v>96</v>
      </c>
      <c r="C10" s="12">
        <f t="shared" si="1"/>
        <v>0</v>
      </c>
      <c r="D10" s="3">
        <v>0</v>
      </c>
      <c r="E10" s="3">
        <v>0</v>
      </c>
      <c r="F10" s="12">
        <f t="shared" si="0"/>
        <v>0</v>
      </c>
      <c r="G10" s="3"/>
    </row>
    <row r="11" spans="1:7">
      <c r="A11" s="3"/>
      <c r="B11" s="3" t="s">
        <v>97</v>
      </c>
      <c r="C11" s="12">
        <f t="shared" si="1"/>
        <v>0</v>
      </c>
      <c r="D11" s="3">
        <v>0</v>
      </c>
      <c r="E11" s="3">
        <v>0</v>
      </c>
      <c r="F11" s="12">
        <f t="shared" si="0"/>
        <v>0</v>
      </c>
      <c r="G11" s="3"/>
    </row>
    <row r="12" spans="1:7">
      <c r="A12" s="3"/>
      <c r="B12" s="3" t="s">
        <v>98</v>
      </c>
      <c r="C12" s="12">
        <f t="shared" si="1"/>
        <v>0</v>
      </c>
      <c r="D12" s="3">
        <v>0</v>
      </c>
      <c r="E12" s="3">
        <v>0</v>
      </c>
      <c r="F12" s="12">
        <f t="shared" si="0"/>
        <v>0</v>
      </c>
      <c r="G12" s="3"/>
    </row>
    <row r="13" spans="1:7">
      <c r="A13" s="3"/>
      <c r="B13" s="3" t="s">
        <v>99</v>
      </c>
      <c r="C13" s="12">
        <f t="shared" si="1"/>
        <v>0</v>
      </c>
      <c r="D13" s="3">
        <v>0</v>
      </c>
      <c r="E13" s="3">
        <v>0</v>
      </c>
      <c r="F13" s="12">
        <f t="shared" si="0"/>
        <v>0</v>
      </c>
      <c r="G13" s="3"/>
    </row>
    <row r="14" spans="1:7">
      <c r="A14" s="3"/>
      <c r="B14" s="3" t="s">
        <v>100</v>
      </c>
      <c r="C14" s="12">
        <f t="shared" si="1"/>
        <v>0</v>
      </c>
      <c r="D14" s="3">
        <v>0</v>
      </c>
      <c r="E14" s="3">
        <v>0</v>
      </c>
      <c r="F14" s="12">
        <f t="shared" si="0"/>
        <v>0</v>
      </c>
      <c r="G14" s="3"/>
    </row>
    <row r="15" spans="1:7">
      <c r="A15" s="3"/>
      <c r="B15" s="3" t="s">
        <v>101</v>
      </c>
      <c r="C15" s="12">
        <f t="shared" si="1"/>
        <v>0</v>
      </c>
      <c r="D15" s="3">
        <v>0</v>
      </c>
      <c r="E15" s="3">
        <v>0</v>
      </c>
      <c r="F15" s="12">
        <f t="shared" si="0"/>
        <v>0</v>
      </c>
      <c r="G15" s="3"/>
    </row>
    <row r="16" spans="1:7">
      <c r="A16" s="3"/>
      <c r="B16" s="3" t="s">
        <v>102</v>
      </c>
      <c r="C16" s="12">
        <f t="shared" si="1"/>
        <v>0</v>
      </c>
      <c r="D16" s="3">
        <v>0</v>
      </c>
      <c r="E16" s="3">
        <v>0</v>
      </c>
      <c r="F16" s="12">
        <f t="shared" si="0"/>
        <v>0</v>
      </c>
      <c r="G16" s="3"/>
    </row>
    <row r="17" spans="1:7">
      <c r="A17" s="3"/>
      <c r="B17" s="3" t="s">
        <v>103</v>
      </c>
      <c r="C17" s="12">
        <f t="shared" si="1"/>
        <v>0</v>
      </c>
      <c r="D17" s="3">
        <v>0</v>
      </c>
      <c r="E17" s="3">
        <v>0</v>
      </c>
      <c r="F17" s="12">
        <f t="shared" si="0"/>
        <v>0</v>
      </c>
      <c r="G17" s="3"/>
    </row>
    <row r="18" spans="1:7">
      <c r="A18" s="3"/>
      <c r="B18" s="3" t="s">
        <v>104</v>
      </c>
      <c r="C18" s="12">
        <f t="shared" si="1"/>
        <v>0</v>
      </c>
      <c r="D18" s="3">
        <v>0</v>
      </c>
      <c r="E18" s="3">
        <v>0</v>
      </c>
      <c r="F18" s="12">
        <f t="shared" si="0"/>
        <v>0</v>
      </c>
      <c r="G18" s="3"/>
    </row>
    <row r="19" spans="1:7">
      <c r="A19" s="3"/>
      <c r="B19" s="3" t="s">
        <v>105</v>
      </c>
      <c r="C19" s="12">
        <f t="shared" si="1"/>
        <v>0</v>
      </c>
      <c r="D19" s="3">
        <v>0</v>
      </c>
      <c r="E19" s="3">
        <v>0</v>
      </c>
      <c r="F19" s="12">
        <f t="shared" si="0"/>
        <v>0</v>
      </c>
      <c r="G19" s="3"/>
    </row>
    <row r="20" spans="1:7">
      <c r="A20" s="3"/>
      <c r="B20" s="3" t="s">
        <v>106</v>
      </c>
      <c r="C20" s="12">
        <f t="shared" si="1"/>
        <v>0</v>
      </c>
      <c r="D20" s="3">
        <v>0</v>
      </c>
      <c r="E20" s="3">
        <v>0</v>
      </c>
      <c r="F20" s="12">
        <f t="shared" si="0"/>
        <v>0</v>
      </c>
      <c r="G20" s="3"/>
    </row>
    <row r="21" spans="1:7">
      <c r="A21" s="3"/>
      <c r="B21" s="3" t="s">
        <v>107</v>
      </c>
      <c r="C21" s="12">
        <f t="shared" si="1"/>
        <v>0</v>
      </c>
      <c r="D21" s="3">
        <v>0</v>
      </c>
      <c r="E21" s="3">
        <v>0</v>
      </c>
      <c r="F21" s="12">
        <f t="shared" si="0"/>
        <v>0</v>
      </c>
      <c r="G21" s="3"/>
    </row>
    <row r="22" spans="1:7">
      <c r="A22" s="3"/>
      <c r="B22" s="3" t="s">
        <v>108</v>
      </c>
      <c r="C22" s="12">
        <f t="shared" si="1"/>
        <v>0</v>
      </c>
      <c r="D22" s="3">
        <v>0</v>
      </c>
      <c r="E22" s="3">
        <v>0</v>
      </c>
      <c r="F22" s="12">
        <f t="shared" si="0"/>
        <v>0</v>
      </c>
      <c r="G22" s="3"/>
    </row>
  </sheetData>
  <sheetProtection algorithmName="SHA-512" hashValue="ozEsTO4jzFzuz0R7uSZSnt3424te6iIF3Xx9NNcHFO+lD9+Gt9YUpojZmdfQJYQYH9NTdZu5nrM12UJfaxiAyw==" saltValue="OJ8bZNH+oeLRbHtdthL9UQ==" spinCount="100000" sheet="1" objects="1" scenarios="1"/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ab27e0-bd9e-4a96-8dd6-43a1080a9fd7">
      <Terms xmlns="http://schemas.microsoft.com/office/infopath/2007/PartnerControls"/>
    </lcf76f155ced4ddcb4097134ff3c332f>
    <TaxCatchAll xmlns="99d6ca35-7387-4ec4-bf27-2d02af5b8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4BF8BD5A4C5D4EA417D3C46A6B080D" ma:contentTypeVersion="15" ma:contentTypeDescription="Create a new document." ma:contentTypeScope="" ma:versionID="2a5c0abd2d83551fc071566d00746d5c">
  <xsd:schema xmlns:xsd="http://www.w3.org/2001/XMLSchema" xmlns:xs="http://www.w3.org/2001/XMLSchema" xmlns:p="http://schemas.microsoft.com/office/2006/metadata/properties" xmlns:ns2="e6ab27e0-bd9e-4a96-8dd6-43a1080a9fd7" xmlns:ns3="99d6ca35-7387-4ec4-bf27-2d02af5b82a5" targetNamespace="http://schemas.microsoft.com/office/2006/metadata/properties" ma:root="true" ma:fieldsID="886ddc1ed6d0776170982486cbe3f9b1" ns2:_="" ns3:_="">
    <xsd:import namespace="e6ab27e0-bd9e-4a96-8dd6-43a1080a9fd7"/>
    <xsd:import namespace="99d6ca35-7387-4ec4-bf27-2d02af5b82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27e0-bd9e-4a96-8dd6-43a1080a9f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22418a5-38e9-41f7-afea-30e97e3aa9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6ca35-7387-4ec4-bf27-2d02af5b82a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250565b-def9-4869-92b7-a23dc1d72547}" ma:internalName="TaxCatchAll" ma:showField="CatchAllData" ma:web="99d6ca35-7387-4ec4-bf27-2d02af5b82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2BFBA5-71B7-4145-93CE-201FD3D489A2}"/>
</file>

<file path=customXml/itemProps2.xml><?xml version="1.0" encoding="utf-8"?>
<ds:datastoreItem xmlns:ds="http://schemas.openxmlformats.org/officeDocument/2006/customXml" ds:itemID="{84C1A3DF-90E8-4689-B175-C2FB2E974E8D}"/>
</file>

<file path=customXml/itemProps3.xml><?xml version="1.0" encoding="utf-8"?>
<ds:datastoreItem xmlns:ds="http://schemas.openxmlformats.org/officeDocument/2006/customXml" ds:itemID="{826ECF56-92BB-4ADE-A909-0A668D96E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 Zulu (22267730)</cp:lastModifiedBy>
  <cp:revision/>
  <dcterms:created xsi:type="dcterms:W3CDTF">2025-04-16T09:20:55Z</dcterms:created>
  <dcterms:modified xsi:type="dcterms:W3CDTF">2026-07-31T12:12:30Z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0x010100C14BF8BD5A4C5D4EA417D3C46A6B080D</vt:lpwstr>
  </property>
</Properties>
</file>