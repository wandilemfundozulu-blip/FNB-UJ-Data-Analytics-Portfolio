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dazitha Holdings Survey" sheetId="1" r:id="rId5"/>
    <sheet state="hidden" name="Form responses 1" sheetId="2" r:id="rId6"/>
    <sheet state="visible" name="Business Questions" sheetId="3" r:id="rId7"/>
    <sheet state="visible" name="Ndabezitha Holdings Spreadsheet" sheetId="4" r:id="rId8"/>
    <sheet state="visible" name="Pivot Table 1" sheetId="5" r:id="rId9"/>
  </sheets>
  <definedNames>
    <definedName name="Location">'Ndabezitha Holdings Spreadsheet'!$A$1</definedName>
    <definedName name="Income">'Ndabezitha Holdings Spreadsheet'!$C$1</definedName>
    <definedName name="Data">'Ndabezitha Holdings Spreadsheet'!$B$1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<sst xmlns="http://schemas.openxmlformats.org/spreadsheetml/2006/main" count="39" uniqueCount="20">
  <si>
    <t>What were the Total Sales for Jan to Feb?</t>
  </si>
  <si>
    <t>How much was December compared to Jan?</t>
  </si>
  <si>
    <t>What if we doubled December Sales?</t>
  </si>
  <si>
    <t>Timestamp</t>
  </si>
  <si>
    <t>What if we only got half of December Sales?</t>
  </si>
  <si>
    <t>Where should we relocate next?</t>
  </si>
  <si>
    <t>Untitled Question</t>
  </si>
  <si>
    <t>(Vlook-UP)</t>
  </si>
  <si>
    <t xml:space="preserve">Durban </t>
  </si>
  <si>
    <t>City</t>
  </si>
  <si>
    <t>Values</t>
  </si>
  <si>
    <t>Pretoria</t>
  </si>
  <si>
    <t>Grand Total</t>
  </si>
  <si>
    <t>Sales</t>
  </si>
  <si>
    <t>SUM of Sales</t>
  </si>
  <si>
    <t>Date</t>
  </si>
  <si>
    <t>% of Total Sales</t>
  </si>
  <si>
    <t>New years - less purchasing power output</t>
  </si>
  <si>
    <t>End of year - Buyer power Superior</t>
  </si>
  <si>
    <t>Total Sales: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</si>
</sst>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m/d/yyyy h:mm:ss"/>
  </numFmts>
  <fonts count="4">
    <font>
      <sz val="10.0"/>
      <color rgb="FF000000"/>
      <name val="Arial"/>
      <scheme val="minor"/>
    </font>
    <font>
      <color theme="1"/>
      <name val="Times New Roman"/>
    </font>
    <font>
      <color theme="1"/>
      <name val="Arial"/>
      <scheme val="minor"/>
    </font>
    <font>
      <b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2" numFmtId="0" xfId="0" applyAlignment="1" applyFont="1">
      <alignment horizontal="left" readingOrder="0" shrinkToFit="0" vertical="center" wrapText="0"/>
    </xf>
    <xf borderId="0" fillId="2" fontId="2" numFmtId="164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Font="1"/>
    <xf borderId="0" fillId="0" fontId="2" numFmtId="10" xfId="0" applyFont="1" applyNumberForma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0" xfId="0" applyAlignment="1" applyFont="1" applyNumberForma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3">
    <tableStyle count="4" pivot="0" name="Ndazitha Holdings Surve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Ndabezitha Holdings Spreadsheet-style">
      <tableStyleElement dxfId="5" type="headerRow"/>
      <tableStyleElement dxfId="2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vs Date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'Ndabezitha Holdings Spreadsheet'!$C$1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'Ndabezitha Holdings Spreadsheet'!$B$2:$B$13</c:f>
            </c:strRef>
          </c:cat>
          <c:val>
            <c:numRef>
              <c:f>'Ndabezitha Holdings Spreadsheet'!$C$2:$C$13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0</xdr:row>
      <xdr:rowOff>9525</xdr:rowOff>
    </xdr:from>
    <xdr:ext cx="4076700" cy="25241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13" sheet="Ndabezitha Holdings Spreadsheet"/>
  </cacheSource>
  <cacheFields>
    <cacheField name="City" numFmtId="0">
      <sharedItems>
        <s v="Pretoria"/>
      </sharedItems>
    </cacheField>
    <cacheField name="Date" numFmtId="164">
      <sharedItems containsSemiMixedTypes="0" containsDate="1" containsString="0">
        <d v="2026-01-01T00:00:00Z"/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</sharedItems>
    </cacheField>
    <cacheField name="Sales" numFmtId="0">
      <sharedItems containsSemiMixedTypes="0" containsString="0" containsNumber="1" containsInteger="1">
        <n v="3000.0"/>
        <n v="15000.0"/>
        <n v="9000.0"/>
        <n v="11000.0"/>
        <n v="7000.0"/>
        <n v="5000.0"/>
        <n v="19000.0"/>
        <n v="21000.0"/>
        <n v="17000.0"/>
        <n v="23000.0"/>
        <n v="13000.0"/>
        <n v="250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E16" firstHeaderRow="0" firstDataRow="2" firstDataCol="1"/>
  <pivotFields>
    <pivotField name="City" axis="axisCol" compact="0" outline="0" multipleItemSelectionAllowed="1" showAll="0" sortType="ascending">
      <items>
        <item x="0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" axis="axisRow" dataField="1" compact="0" outline="0" multipleItemSelectionAllowed="1" showAll="0" sortType="ascending">
      <items>
        <item x="0"/>
        <item x="5"/>
        <item x="4"/>
        <item x="2"/>
        <item x="3"/>
        <item x="10"/>
        <item x="1"/>
        <item x="8"/>
        <item x="6"/>
        <item x="7"/>
        <item x="9"/>
        <item x="11"/>
        <item t="default"/>
      </items>
    </pivotField>
  </pivotFields>
  <rowFields>
    <field x="2"/>
  </rowFields>
  <colFields>
    <field x="0"/>
    <field x="-2"/>
  </colFields>
  <dataFields>
    <dataField name="SUM of Sales" fld="2" baseField="0"/>
    <dataField name="SUM of Sales" fld="2" showDataAs="percentOfTotal" baseField="0" numFmtId="10"/>
  </dataFields>
</pivotTableDefinition>
</file>

<file path=xl/tables/table1.xml><?xml version="1.0" encoding="utf-8"?>
<table xmlns="http://schemas.openxmlformats.org/spreadsheetml/2006/main" ref="A1:B2" displayName="Form_Responses2" name="Form_Responses2" id="1">
  <tableColumns count="2">
    <tableColumn name="Timestamp" id="1"/>
    <tableColumn name="Where should we relocate next?" id="2"/>
  </tableColumns>
  <tableStyleInfo name="Ndazitha Holdings Survey-style" showColumnStripes="0" showFirstColumn="1" showLastColumn="1" showRowStripes="1"/>
</table>
</file>

<file path=xl/tables/table2.xml><?xml version="1.0" encoding="utf-8"?>
<table xmlns="http://schemas.openxmlformats.org/spreadsheetml/2006/main" headerRowCount="0" ref="A1:B1" displayName="Form_Responses" name="Form_Responses" id="2">
  <tableColumns count="2">
    <tableColumn name="Column1" id="1"/>
    <tableColumn name="Column2" id="2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F14" displayName="Table_1" name="Table_1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Ndabezitha Holdings Spreadshe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1C75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 ht="22.5" customHeight="1">
      <c r="A1" s="4" t="s">
        <v>3</v>
      </c>
      <c r="B1" s="6" t="s">
        <v>5</v>
      </c>
    </row>
    <row r="2" ht="22.5" customHeight="1">
      <c r="A2" s="7">
        <v>46220.62226520834</v>
      </c>
      <c r="B2" s="8" t="s">
        <v>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 ht="22.5" customHeight="1">
      <c r="A1" s="4" t="s">
        <v>3</v>
      </c>
      <c r="B1" s="6" t="s">
        <v>6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f>SUM('Ndabezitha Holdings Spreadsheet'!C2:C3)</f>
        <v>18000</v>
      </c>
      <c r="B1" s="2" t="s">
        <v>0</v>
      </c>
      <c r="C1" s="3"/>
      <c r="D1" s="3"/>
    </row>
    <row r="2">
      <c r="A2" s="1">
        <f>SUM('Ndabezitha Holdings Spreadsheet'!C13-'Ndabezitha Holdings Spreadsheet'!C2)</f>
        <v>22000</v>
      </c>
      <c r="B2" s="2" t="s">
        <v>1</v>
      </c>
      <c r="C2" s="3"/>
      <c r="D2" s="3"/>
    </row>
    <row r="3">
      <c r="A3" s="1">
        <f>SUM('Ndabezitha Holdings Spreadsheet'!C13*2)</f>
        <v>50000</v>
      </c>
      <c r="B3" s="2" t="s">
        <v>2</v>
      </c>
      <c r="C3" s="3"/>
      <c r="D3" s="3"/>
    </row>
    <row r="4">
      <c r="A4" s="1">
        <f>SUM('Ndabezitha Holdings Spreadsheet'!C8/2)</f>
        <v>9500</v>
      </c>
      <c r="B4" s="2" t="s">
        <v>4</v>
      </c>
      <c r="C4" s="3"/>
      <c r="D4" s="3"/>
    </row>
    <row r="5">
      <c r="A5" s="1">
        <f>VLOOKUP(B5,'Ndabezitha Holdings Spreadsheet'!B2:C13,2)</f>
        <v>7000</v>
      </c>
      <c r="B5" s="5">
        <v>46143.0</v>
      </c>
      <c r="C5" s="2" t="s">
        <v>7</v>
      </c>
      <c r="D5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hidden="1" min="4" max="4" width="29.0"/>
  </cols>
  <sheetData>
    <row r="1">
      <c r="A1" s="11" t="s">
        <v>9</v>
      </c>
      <c r="B1" s="11" t="s">
        <v>15</v>
      </c>
      <c r="C1" s="11" t="s">
        <v>13</v>
      </c>
      <c r="D1" s="12"/>
      <c r="E1" s="11" t="s">
        <v>16</v>
      </c>
      <c r="F1" s="12"/>
    </row>
    <row r="2">
      <c r="A2" s="11" t="s">
        <v>11</v>
      </c>
      <c r="B2" s="13">
        <v>46023.0</v>
      </c>
      <c r="C2" s="11">
        <v>3000.0</v>
      </c>
      <c r="D2" s="11" t="s">
        <v>17</v>
      </c>
      <c r="E2" s="14">
        <f t="shared" ref="E2:E13" si="1">C2/100000</f>
        <v>0.03</v>
      </c>
    </row>
    <row r="3">
      <c r="A3" s="11" t="s">
        <v>11</v>
      </c>
      <c r="B3" s="13">
        <v>46054.0</v>
      </c>
      <c r="C3" s="11">
        <v>15000.0</v>
      </c>
      <c r="D3" s="12"/>
      <c r="E3" s="14">
        <f t="shared" si="1"/>
        <v>0.15</v>
      </c>
    </row>
    <row r="4">
      <c r="A4" s="11" t="s">
        <v>11</v>
      </c>
      <c r="B4" s="13">
        <v>46082.0</v>
      </c>
      <c r="C4" s="11">
        <v>9000.0</v>
      </c>
      <c r="D4" s="12"/>
      <c r="E4" s="14">
        <f t="shared" si="1"/>
        <v>0.09</v>
      </c>
    </row>
    <row r="5">
      <c r="A5" s="11" t="s">
        <v>11</v>
      </c>
      <c r="B5" s="13">
        <v>46113.0</v>
      </c>
      <c r="C5" s="11">
        <v>11000.0</v>
      </c>
      <c r="D5" s="12"/>
      <c r="E5" s="14">
        <f t="shared" si="1"/>
        <v>0.11</v>
      </c>
    </row>
    <row r="6">
      <c r="A6" s="11" t="s">
        <v>11</v>
      </c>
      <c r="B6" s="13">
        <v>46143.0</v>
      </c>
      <c r="C6" s="11">
        <v>7000.0</v>
      </c>
      <c r="D6" s="12"/>
      <c r="E6" s="14">
        <f t="shared" si="1"/>
        <v>0.07</v>
      </c>
    </row>
    <row r="7">
      <c r="A7" s="11" t="s">
        <v>11</v>
      </c>
      <c r="B7" s="13">
        <v>46174.0</v>
      </c>
      <c r="C7" s="11">
        <v>5000.0</v>
      </c>
      <c r="D7" s="12"/>
      <c r="E7" s="14">
        <f t="shared" si="1"/>
        <v>0.05</v>
      </c>
      <c r="F7" s="12"/>
    </row>
    <row r="8">
      <c r="A8" s="11" t="s">
        <v>11</v>
      </c>
      <c r="B8" s="13">
        <v>46204.0</v>
      </c>
      <c r="C8" s="11">
        <v>19000.0</v>
      </c>
      <c r="D8" s="12"/>
      <c r="E8" s="14">
        <f t="shared" si="1"/>
        <v>0.19</v>
      </c>
      <c r="F8" s="12"/>
    </row>
    <row r="9">
      <c r="A9" s="11" t="s">
        <v>11</v>
      </c>
      <c r="B9" s="13">
        <v>46235.0</v>
      </c>
      <c r="C9" s="11">
        <v>21000.0</v>
      </c>
      <c r="D9" s="12"/>
      <c r="E9" s="14">
        <f t="shared" si="1"/>
        <v>0.21</v>
      </c>
      <c r="F9" s="12"/>
    </row>
    <row r="10">
      <c r="A10" s="11" t="s">
        <v>11</v>
      </c>
      <c r="B10" s="13">
        <v>46266.0</v>
      </c>
      <c r="C10" s="11">
        <v>17000.0</v>
      </c>
      <c r="D10" s="12"/>
      <c r="E10" s="14">
        <f t="shared" si="1"/>
        <v>0.17</v>
      </c>
      <c r="F10" s="12"/>
    </row>
    <row r="11">
      <c r="A11" s="11" t="s">
        <v>11</v>
      </c>
      <c r="B11" s="13">
        <v>46296.0</v>
      </c>
      <c r="C11" s="11">
        <v>23000.0</v>
      </c>
      <c r="D11" s="12"/>
      <c r="E11" s="14">
        <f t="shared" si="1"/>
        <v>0.23</v>
      </c>
      <c r="F11" s="12"/>
    </row>
    <row r="12">
      <c r="A12" s="11" t="s">
        <v>11</v>
      </c>
      <c r="B12" s="13">
        <v>46327.0</v>
      </c>
      <c r="C12" s="11">
        <v>13000.0</v>
      </c>
      <c r="D12" s="12"/>
      <c r="E12" s="14">
        <f t="shared" si="1"/>
        <v>0.13</v>
      </c>
      <c r="F12" s="12"/>
    </row>
    <row r="13">
      <c r="A13" s="11" t="s">
        <v>11</v>
      </c>
      <c r="B13" s="13">
        <v>46357.0</v>
      </c>
      <c r="C13" s="11">
        <v>25000.0</v>
      </c>
      <c r="D13" s="11" t="s">
        <v>18</v>
      </c>
      <c r="E13" s="14">
        <f t="shared" si="1"/>
        <v>0.25</v>
      </c>
      <c r="F13" s="12"/>
    </row>
    <row r="14">
      <c r="A14" s="12"/>
      <c r="B14" s="15" t="s">
        <v>19</v>
      </c>
      <c r="C14" s="16">
        <f>SUM(C2:C13)</f>
        <v>168000</v>
      </c>
      <c r="D14" s="12"/>
      <c r="E14" s="17"/>
      <c r="F14" s="12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drawing r:id="rId2"/>
</worksheet>
</file>